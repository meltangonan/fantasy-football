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3bde4bb5a24a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aft Board" sheetId="1" r:id="R51fe5f8967764fc2"/>
    <x:sheet xmlns:r="http://schemas.openxmlformats.org/officeDocument/2006/relationships" name="Independent Model" sheetId="2" r:id="Rae97e6b512a04037"/>
    <x:sheet xmlns:r="http://schemas.openxmlformats.org/officeDocument/2006/relationships" name="Decision Rankings" sheetId="3" r:id="Rf132d16878e64ab3"/>
    <x:sheet xmlns:r="http://schemas.openxmlformats.org/officeDocument/2006/relationships" name="QB" sheetId="4" r:id="R6f5dc8f1ed9f4aad"/>
    <x:sheet xmlns:r="http://schemas.openxmlformats.org/officeDocument/2006/relationships" name="RB" sheetId="5" r:id="Rcd6147d7dfaa4846"/>
    <x:sheet xmlns:r="http://schemas.openxmlformats.org/officeDocument/2006/relationships" name="WR" sheetId="6" r:id="R0c839753c2d74b26"/>
    <x:sheet xmlns:r="http://schemas.openxmlformats.org/officeDocument/2006/relationships" name="TE" sheetId="7" r:id="Ra86b55f634a044c0"/>
    <x:sheet xmlns:r="http://schemas.openxmlformats.org/officeDocument/2006/relationships" name="Team Environment" sheetId="8" r:id="R824ee2eb827043a1"/>
    <x:sheet xmlns:r="http://schemas.openxmlformats.org/officeDocument/2006/relationships" name="Backtest" sheetId="9" r:id="Rb3b5c06eebb94568"/>
    <x:sheet xmlns:r="http://schemas.openxmlformats.org/officeDocument/2006/relationships" name="Print Board" sheetId="10" r:id="R1c798d43df7b4017"/>
    <x:sheet xmlns:r="http://schemas.openxmlformats.org/officeDocument/2006/relationships" name="K &amp; DEF" sheetId="11" r:id="R1629b480b2d647c1"/>
    <x:sheet xmlns:r="http://schemas.openxmlformats.org/officeDocument/2006/relationships" name="Method &amp; Sources" sheetId="12" r:id="Refc865aba8a84f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0"/>
    <x:numFmt numFmtId="202" formatCode="0.00"/>
    <x:numFmt numFmtId="203" formatCode="0.0%"/>
    <x:numFmt numFmtId="204" formatCode="0.00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67085"/>
      <x:name val="Carlito"/>
    </x:font>
    <x:font>
      <x:sz val="11"/>
      <x:color rgb="FF172033"/>
      <x:name val="Carlito"/>
    </x:font>
    <x:font>
      <x:sz val="10"/>
      <x:color rgb="FF172033"/>
      <x:name val="Arial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9"/>
      <x:color rgb="FF172033"/>
      <x:name val="Arial"/>
    </x:font>
    <x:font>
      <x:b/>
      <x:sz val="11"/>
      <x:color rgb="FF172033"/>
      <x:name val="Carlito"/>
    </x:font>
    <x:font>
      <x:sz val="11"/>
      <x:color rgb="FF1D4ED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2B4D"/>
      </x:patternFill>
    </x:fill>
    <x:fill>
      <x:patternFill patternType="solid">
        <x:fgColor rgb="FFE9EFF8"/>
      </x:patternFill>
    </x:fill>
    <x:fill>
      <x:patternFill patternType="solid">
        <x:fgColor rgb="FFFFF0C2"/>
      </x:patternFill>
    </x:fill>
    <x:fill>
      <x:patternFill patternType="solid">
        <x:fgColor rgb="FF31476D"/>
      </x:patternFill>
    </x:fill>
    <x:fill>
      <x:patternFill patternType="solid">
        <x:fgColor rgb="FFFFFFFF"/>
      </x:patternFill>
    </x:fill>
    <x:fill>
      <x:patternFill patternType="solid">
        <x:fgColor rgb="FFF4F6FA"/>
      </x:patternFill>
    </x:fill>
  </x:fills>
  <x:borders count="16">
    <x:border/>
    <x:border>
      <x:right style="thin">
        <x:color rgb="FFE4E7EC"/>
      </x:right>
      <x:bottom style="thin">
        <x:color rgb="FFE4E7EC"/>
      </x:bottom>
    </x:border>
    <x:border>
      <x:left style="thin">
        <x:color rgb="FFE4E7EC"/>
      </x:left>
      <x:right style="thin">
        <x:color rgb="FFE4E7EC"/>
      </x:right>
      <x:bottom style="thin">
        <x:color rgb="FFE4E7EC"/>
      </x:bottom>
    </x:border>
    <x:border>
      <x:left style="thin">
        <x:color rgb="FFE4E7EC"/>
      </x:left>
      <x:bottom style="thin">
        <x:color rgb="FFE4E7EC"/>
      </x:bottom>
    </x:border>
    <x:border>
      <x:right style="thin">
        <x:color rgb="FFE4E7EC"/>
      </x:right>
      <x:top style="thin">
        <x:color rgb="FFE4E7EC"/>
      </x:top>
      <x:bottom style="thin">
        <x:color rgb="FFE4E7EC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  <x:border>
      <x:left style="thin">
        <x:color rgb="FFE4E7EC"/>
      </x:left>
      <x:top style="thin">
        <x:color rgb="FFE4E7EC"/>
      </x:top>
      <x:bottom style="thin">
        <x:color rgb="FFE4E7EC"/>
      </x:bottom>
    </x:border>
    <x:border>
      <x:right style="thin">
        <x:color rgb="FFE4E7EC"/>
      </x:right>
      <x:top style="thin">
        <x:color rgb="FFE4E7EC"/>
      </x:top>
    </x:border>
    <x:border>
      <x:left style="thin">
        <x:color rgb="FFE4E7EC"/>
      </x:left>
      <x:right style="thin">
        <x:color rgb="FFE4E7EC"/>
      </x:right>
      <x:top style="thin">
        <x:color rgb="FFE4E7EC"/>
      </x:top>
    </x:border>
    <x:border>
      <x:left style="thin">
        <x:color rgb="FFE4E7EC"/>
      </x:left>
      <x:top style="thin">
        <x:color rgb="FFE4E7EC"/>
      </x:top>
    </x:border>
    <x:border>
      <x:right style="thin">
        <x:color rgb="FFD9DEE8"/>
      </x:right>
      <x:bottom style="thin">
        <x:color rgb="FFD9DEE8"/>
      </x:bottom>
    </x:border>
    <x:border>
      <x:left style="thin">
        <x:color rgb="FFD9DEE8"/>
      </x:left>
      <x:bottom style="thin">
        <x:color rgb="FFD9DEE8"/>
      </x:bottom>
    </x:border>
    <x:border>
      <x:right style="thin">
        <x:color rgb="FFD9DEE8"/>
      </x:right>
      <x:top style="thin">
        <x:color rgb="FFD9DEE8"/>
      </x:top>
      <x:bottom style="thin">
        <x:color rgb="FFD9DEE8"/>
      </x:bottom>
    </x:border>
    <x:border>
      <x:left style="thin">
        <x:color rgb="FFD9DEE8"/>
      </x:left>
      <x:top style="thin">
        <x:color rgb="FFD9DEE8"/>
      </x:top>
      <x:bottom style="thin">
        <x:color rgb="FFD9DEE8"/>
      </x:bottom>
    </x:border>
    <x:border>
      <x:right style="thin">
        <x:color rgb="FFD9DEE8"/>
      </x:right>
      <x:top style="thin">
        <x:color rgb="FFD9DEE8"/>
      </x:top>
    </x:border>
    <x:border>
      <x:left style="thin">
        <x:color rgb="FFD9DEE8"/>
      </x:left>
      <x:top style="thin">
        <x:color rgb="FFD9DEE8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4" fontId="4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4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200" fontId="7" fillId="0" borderId="1" xfId="0" applyNumberFormat="1" applyFont="1" applyFill="1" applyBorder="1"/>
    <x:xf numFmtId="200" fontId="7" fillId="0" borderId="4" xfId="0" applyNumberFormat="1" applyFont="1" applyFill="1" applyBorder="1"/>
    <x:xf numFmtId="200" fontId="7" fillId="0" borderId="7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8" fillId="3" borderId="10" xfId="0" applyNumberFormat="1" applyFont="1" applyFill="1" applyBorder="1" applyAlignment="1">
      <x:alignment vertical="top"/>
    </x:xf>
    <x:xf numFmtId="0" fontId="3" fillId="6" borderId="11" xfId="0" applyNumberFormat="1" applyFont="1" applyFill="1" applyBorder="1" applyAlignment="1">
      <x:alignment vertical="top" wrapText="1"/>
    </x:xf>
    <x:xf numFmtId="0" fontId="8" fillId="3" borderId="12" xfId="0" applyNumberFormat="1" applyFont="1" applyFill="1" applyBorder="1" applyAlignment="1">
      <x:alignment vertical="top"/>
    </x:xf>
    <x:xf numFmtId="0" fontId="3" fillId="6" borderId="13" xfId="0" applyNumberFormat="1" applyFont="1" applyFill="1" applyBorder="1" applyAlignment="1">
      <x:alignment vertical="top" wrapText="1"/>
    </x:xf>
    <x:xf numFmtId="0" fontId="8" fillId="3" borderId="14" xfId="0" applyNumberFormat="1" applyFont="1" applyFill="1" applyBorder="1" applyAlignment="1">
      <x:alignment vertical="top"/>
    </x:xf>
    <x:xf numFmtId="0" fontId="3" fillId="6" borderId="15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96">
    <x:dxf>
      <x:font>
        <x:i/>
        <x:color rgb="FF8A9099"/>
      </x:font>
      <x:fill>
        <x:patternFill patternType="solid">
          <x:bgColor rgb="FFE5E7EB"/>
        </x:patternFill>
      </x:fill>
    </x:dxf>
    <x:dxf>
      <x:font>
        <x:b/>
        <x:color rgb="FF14532D"/>
      </x:font>
      <x:fill>
        <x:patternFill patternType="solid">
          <x:bgColor rgb="FFD9F3E5"/>
        </x:patternFill>
      </x:fill>
    </x:dxf>
    <x:dxf>
      <x:font>
        <x:b/>
        <x:color rgb="FF172033"/>
      </x:font>
      <x:fill>
        <x:patternFill patternType="solid">
          <x:bgColor rgb="FFB7E4C7"/>
        </x:patternFill>
      </x:fill>
    </x:dxf>
    <x:dxf>
      <x:font>
        <x:b/>
        <x:color rgb="FF172033"/>
      </x:font>
      <x:fill>
        <x:patternFill patternType="solid">
          <x:bgColor rgb="FFD9F3E5"/>
        </x:patternFill>
      </x:fill>
    </x:dxf>
    <x:dxf>
      <x:font>
        <x:b/>
        <x:color rgb="FF172033"/>
      </x:font>
      <x:fill>
        <x:patternFill patternType="solid">
          <x:bgColor rgb="FFDCE9FF"/>
        </x:patternFill>
      </x:fill>
    </x:dxf>
    <x:dxf>
      <x:font>
        <x:b/>
        <x:color rgb="FF172033"/>
      </x:font>
      <x:fill>
        <x:patternFill patternType="solid">
          <x:bgColor rgb="FFFFE8CC"/>
        </x:patternFill>
      </x:fill>
    </x:dxf>
    <x:dxf>
      <x:font>
        <x:b/>
        <x:color rgb="FF172033"/>
      </x:font>
      <x:fill>
        <x:patternFill patternType="solid">
          <x:bgColor rgb="FFFFD6D1"/>
        </x:patternFill>
      </x:fill>
    </x:dxf>
    <x:dxf>
      <x:font>
        <x:b/>
        <x:color rgb="FF172033"/>
      </x:font>
      <x:fill>
        <x:patternFill patternType="solid">
          <x:bgColor rgb="FFECEEF2"/>
        </x:patternFill>
      </x:fill>
    </x:dxf>
    <x:dxf>
      <x:font>
        <x:b/>
        <x:color rgb="FF172033"/>
      </x:font>
      <x:fill>
        <x:patternFill patternType="solid">
          <x:bgColor rgb="FFEA9999"/>
        </x:patternFill>
      </x:fill>
    </x:dxf>
    <x:dxf>
      <x:font>
        <x:b/>
        <x:color rgb="FF172033"/>
      </x:font>
      <x:fill>
        <x:patternFill patternType="solid">
          <x:bgColor rgb="FFB7E1CD"/>
        </x:patternFill>
      </x:fill>
    </x:dxf>
    <x:dxf>
      <x:font>
        <x:b/>
        <x:color rgb="FF172033"/>
      </x:font>
      <x:fill>
        <x:patternFill patternType="solid">
          <x:bgColor rgb="FFA4C2F4"/>
        </x:patternFill>
      </x:fill>
    </x:dxf>
    <x:dxf>
      <x:font>
        <x:b/>
        <x:color rgb="FF172033"/>
      </x:font>
      <x:fill>
        <x:patternFill patternType="solid">
          <x:bgColor rgb="FFFFE599"/>
        </x:patternFill>
      </x:fill>
    </x:dxf>
    <x:dxf>
      <x:font>
        <x:b/>
        <x:color rgb="FF172033"/>
      </x:font>
      <x:fill>
        <x:patternFill patternType="solid">
          <x:bgColor rgb="FFD8CDF2"/>
        </x:patternFill>
      </x:fill>
    </x:dxf>
    <x:dxf>
      <x:font>
        <x:b/>
        <x:color rgb="FF172033"/>
      </x:font>
      <x:fill>
        <x:patternFill patternType="solid">
          <x:bgColor rgb="FFD6D8DC"/>
        </x:patternFill>
      </x:fill>
    </x:dxf>
    <x:dxf>
      <x:font>
        <x:b/>
        <x:color rgb="FF172033"/>
      </x:font>
      <x:fill>
        <x:patternFill patternType="solid">
          <x:bgColor rgb="FFD9F3E5"/>
        </x:patternFill>
      </x:fill>
    </x:dxf>
    <x:dxf>
      <x:font>
        <x:b/>
        <x:color rgb="FF172033"/>
      </x:font>
      <x:fill>
        <x:patternFill patternType="solid">
          <x:bgColor rgb="FFFFF0C2"/>
        </x:patternFill>
      </x:fill>
    </x:dxf>
    <x:dxf>
      <x:font>
        <x:b/>
        <x:color rgb="FF172033"/>
      </x:font>
      <x:fill>
        <x:patternFill patternType="solid">
          <x:bgColor rgb="FFFFE0DD"/>
        </x:patternFill>
      </x:fill>
    </x:dxf>
    <x:dxf>
      <x:font>
        <x:b/>
        <x:color rgb="FF8B1E1E"/>
      </x:font>
      <x:fill>
        <x:patternFill patternType="solid">
          <x:bgColor rgb="FFFFE0DD"/>
        </x:patternFill>
      </x:fill>
    </x:dxf>
    <x:dxf>
      <x:font>
        <x:b/>
        <x:color rgb="FF172033"/>
      </x:font>
      <x:fill>
        <x:patternFill patternType="solid">
          <x:bgColor rgb="FFEA9999"/>
        </x:patternFill>
      </x:fill>
    </x:dxf>
    <x:dxf>
      <x:font>
        <x:b/>
        <x:color rgb="FF172033"/>
      </x:font>
      <x:fill>
        <x:patternFill patternType="solid">
          <x:bgColor rgb="FFB7E1CD"/>
        </x:patternFill>
      </x:fill>
    </x:dxf>
    <x:dxf>
      <x:font>
        <x:b/>
        <x:color rgb="FF172033"/>
      </x:font>
      <x:fill>
        <x:patternFill patternType="solid">
          <x:bgColor rgb="FFA4C2F4"/>
        </x:patternFill>
      </x:fill>
    </x:dxf>
    <x:dxf>
      <x:font>
        <x:b/>
        <x:color rgb="FF172033"/>
      </x:font>
      <x:fill>
        <x:patternFill patternType="solid">
          <x:bgColor rgb="FFFFE599"/>
        </x:patternFill>
      </x:fill>
    </x:dxf>
    <x:dxf>
      <x:font>
        <x:b/>
        <x:color rgb="FF172033"/>
      </x:font>
      <x:fill>
        <x:patternFill patternType="solid">
          <x:bgColor rgb="FFD8CDF2"/>
        </x:patternFill>
      </x:fill>
    </x:dxf>
    <x:dxf>
      <x:font>
        <x:b/>
        <x:color rgb="FF172033"/>
      </x:font>
      <x:fill>
        <x:patternFill patternType="solid">
          <x:bgColor rgb="FFD6D8DC"/>
        </x:patternFill>
      </x:fill>
    </x:dxf>
    <x:dxf>
      <x:font>
        <x:b/>
        <x:color rgb="FF172033"/>
      </x:font>
      <x:fill>
        <x:patternFill patternType="solid">
          <x:bgColor rgb="FFD9F3E5"/>
        </x:patternFill>
      </x:fill>
    </x:dxf>
    <x:dxf>
      <x:font>
        <x:b/>
        <x:color rgb="FF172033"/>
      </x:font>
      <x:fill>
        <x:patternFill patternType="solid">
          <x:bgColor rgb="FFFFF0C2"/>
        </x:patternFill>
      </x:fill>
    </x:dxf>
    <x:dxf>
      <x:font>
        <x:b/>
        <x:color rgb="FF172033"/>
      </x:font>
      <x:fill>
        <x:patternFill patternType="solid">
          <x:bgColor rgb="FFFFE0DD"/>
        </x:patternFill>
      </x:fill>
    </x:dxf>
    <x:dxf>
      <x:font>
        <x:b/>
        <x:color rgb="FF8B1E1E"/>
      </x:font>
      <x:fill>
        <x:patternFill patternType="solid">
          <x:bgColor rgb="FFFFE0DD"/>
        </x:patternFill>
      </x:fill>
    </x:dxf>
    <x:dxf>
      <x:font>
        <x:b/>
        <x:color rgb="FF172033"/>
      </x:font>
      <x:fill>
        <x:patternFill patternType="solid">
          <x:bgColor rgb="FFEA9999"/>
        </x:patternFill>
      </x:fill>
    </x:dxf>
    <x:dxf>
      <x:font>
        <x:b/>
        <x:color rgb="FF172033"/>
      </x:font>
      <x:fill>
        <x:patternFill patternType="solid">
          <x:bgColor rgb="FFB7E1CD"/>
        </x:patternFill>
      </x:fill>
    </x:dxf>
    <x:dxf>
      <x:font>
        <x:b/>
        <x:color rgb="FF172033"/>
      </x:font>
      <x:fill>
        <x:patternFill patternType="solid">
          <x:bgColor rgb="FFA4C2F4"/>
        </x:patternFill>
      </x:fill>
    </x:dxf>
    <x:dxf>
      <x:font>
        <x:b/>
        <x:color rgb="FF172033"/>
      </x:font>
      <x:fill>
        <x:patternFill patternType="solid">
          <x:bgColor rgb="FFFFE599"/>
        </x:patternFill>
      </x:fill>
    </x:dxf>
    <x:dxf>
      <x:font>
        <x:b/>
        <x:color rgb="FF172033"/>
      </x:font>
      <x:fill>
        <x:patternFill patternType="solid">
          <x:bgColor rgb="FFD8CDF2"/>
        </x:patternFill>
      </x:fill>
    </x:dxf>
    <x:dxf>
      <x:font>
        <x:b/>
        <x:color rgb="FF172033"/>
      </x:font>
      <x:fill>
        <x:patternFill patternType="solid">
          <x:bgColor rgb="FFD6D8DC"/>
        </x:patternFill>
      </x:fill>
    </x:dxf>
    <x:dxf>
      <x:font>
        <x:b/>
        <x:color rgb="FF172033"/>
      </x:font>
      <x:fill>
        <x:patternFill patternType="solid">
          <x:bgColor rgb="FFD9F3E5"/>
        </x:patternFill>
      </x:fill>
    </x:dxf>
    <x:dxf>
      <x:font>
        <x:b/>
        <x:color rgb="FF172033"/>
      </x:font>
      <x:fill>
        <x:patternFill patternType="solid">
          <x:bgColor rgb="FFFFF0C2"/>
        </x:patternFill>
      </x:fill>
    </x:dxf>
    <x:dxf>
      <x:font>
        <x:b/>
        <x:color rgb="FF172033"/>
      </x:font>
      <x:fill>
        <x:patternFill patternType="solid">
          <x:bgColor rgb="FFFFE0DD"/>
        </x:patternFill>
      </x:fill>
    </x:dxf>
    <x:dxf>
      <x:font>
        <x:b/>
        <x:color rgb="FF8B1E1E"/>
      </x:font>
      <x:fill>
        <x:patternFill patternType="solid">
          <x:bgColor rgb="FFFFE0DD"/>
        </x:patternFill>
      </x:fill>
    </x:dxf>
    <x:dxf>
      <x:font>
        <x:b/>
        <x:color rgb="FF172033"/>
      </x:font>
      <x:fill>
        <x:patternFill patternType="solid">
          <x:bgColor rgb="FFD9F3E5"/>
        </x:patternFill>
      </x:fill>
    </x:dxf>
    <x:dxf>
      <x:font>
        <x:b/>
        <x:color rgb="FF172033"/>
      </x:font>
      <x:fill>
        <x:patternFill patternType="solid">
          <x:bgColor rgb="FFFFF0C2"/>
        </x:patternFill>
      </x:fill>
    </x:dxf>
    <x:dxf>
      <x:font>
        <x:b/>
        <x:color rgb="FF172033"/>
      </x:font>
      <x:fill>
        <x:patternFill patternType="solid">
          <x:bgColor rgb="FFFFE0DD"/>
        </x:patternFill>
      </x:fill>
    </x:dxf>
    <x:dxf>
      <x:font>
        <x:b/>
        <x:color rgb="FF8B1E1E"/>
      </x:font>
      <x:fill>
        <x:patternFill patternType="solid">
          <x:bgColor rgb="FFFFE0DD"/>
        </x:patternFill>
      </x:fill>
    </x:dxf>
    <x:dxf>
      <x:font>
        <x:b/>
        <x:color rgb="FF172033"/>
      </x:font>
      <x:fill>
        <x:patternFill patternType="solid">
          <x:bgColor rgb="FFD9F3E5"/>
        </x:patternFill>
      </x:fill>
    </x:dxf>
    <x:dxf>
      <x:font>
        <x:b/>
        <x:color rgb="FF172033"/>
      </x:font>
      <x:fill>
        <x:patternFill patternType="solid">
          <x:bgColor rgb="FFFFF0C2"/>
        </x:patternFill>
      </x:fill>
    </x:dxf>
    <x:dxf>
      <x:font>
        <x:b/>
        <x:color rgb="FF172033"/>
      </x:font>
      <x:fill>
        <x:patternFill patternType="solid">
          <x:bgColor rgb="FFFFE0DD"/>
        </x:patternFill>
      </x:fill>
    </x:dxf>
    <x:dxf>
      <x:font>
        <x:b/>
        <x:color rgb="FF8B1E1E"/>
      </x:font>
      <x:fill>
        <x:patternFill patternType="solid">
          <x:bgColor rgb="FFFFE0DD"/>
        </x:patternFill>
      </x:fill>
    </x:dxf>
    <x:dxf>
      <x:font>
        <x:b/>
        <x:color rgb="FF172033"/>
      </x:font>
      <x:fill>
        <x:patternFill patternType="solid">
          <x:bgColor rgb="FFD9F3E5"/>
        </x:patternFill>
      </x:fill>
    </x:dxf>
    <x:dxf>
      <x:font>
        <x:b/>
        <x:color rgb="FF172033"/>
      </x:font>
      <x:fill>
        <x:patternFill patternType="solid">
          <x:bgColor rgb="FFFFF0C2"/>
        </x:patternFill>
      </x:fill>
    </x:dxf>
    <x:dxf>
      <x:font>
        <x:b/>
        <x:color rgb="FF172033"/>
      </x:font>
      <x:fill>
        <x:patternFill patternType="solid">
          <x:bgColor rgb="FFFFE0DD"/>
        </x:patternFill>
      </x:fill>
    </x:dxf>
    <x:dxf>
      <x:font>
        <x:b/>
        <x:color rgb="FF8B1E1E"/>
      </x:font>
      <x:fill>
        <x:patternFill patternType="solid">
          <x:bgColor rgb="FFFFE0DD"/>
        </x:patternFill>
      </x:fill>
    </x:dxf>
    <x:dxf>
      <x:font>
        <x:b/>
        <x:color rgb="FF172033"/>
      </x:font>
      <x:fill>
        <x:patternFill patternType="solid">
          <x:bgColor rgb="FFD9F3E5"/>
        </x:patternFill>
      </x:fill>
    </x:dxf>
    <x:dxf>
      <x:font>
        <x:b/>
        <x:color rgb="FF172033"/>
      </x:font>
      <x:fill>
        <x:patternFill patternType="solid">
          <x:bgColor rgb="FFFFF0C2"/>
        </x:patternFill>
      </x:fill>
    </x:dxf>
    <x:dxf>
      <x:font>
        <x:b/>
        <x:color rgb="FF172033"/>
      </x:font>
      <x:fill>
        <x:patternFill patternType="solid">
          <x:bgColor rgb="FFFFE0DD"/>
        </x:patternFill>
      </x:fill>
    </x:dxf>
    <x:dxf>
      <x:font>
        <x:b/>
        <x:color rgb="FF8B1E1E"/>
      </x:font>
      <x:fill>
        <x:patternFill patternType="solid">
          <x:bgColor rgb="FFFFE0DD"/>
        </x:patternFill>
      </x:fill>
    </x:dxf>
    <x:dxf>
      <x:font>
        <x:b/>
        <x:color rgb="FF172033"/>
      </x:font>
      <x:fill>
        <x:patternFill patternType="solid">
          <x:bgColor rgb="FFEA9999"/>
        </x:patternFill>
      </x:fill>
    </x:dxf>
    <x:dxf>
      <x:font>
        <x:b/>
        <x:color rgb="FF172033"/>
      </x:font>
      <x:fill>
        <x:patternFill patternType="solid">
          <x:bgColor rgb="FFB7E1CD"/>
        </x:patternFill>
      </x:fill>
    </x:dxf>
    <x:dxf>
      <x:font>
        <x:b/>
        <x:color rgb="FF172033"/>
      </x:font>
      <x:fill>
        <x:patternFill patternType="solid">
          <x:bgColor rgb="FFA4C2F4"/>
        </x:patternFill>
      </x:fill>
    </x:dxf>
    <x:dxf>
      <x:font>
        <x:b/>
        <x:color rgb="FF172033"/>
      </x:font>
      <x:fill>
        <x:patternFill patternType="solid">
          <x:bgColor rgb="FFFFE599"/>
        </x:patternFill>
      </x:fill>
    </x:dxf>
    <x:dxf>
      <x:font>
        <x:b/>
        <x:color rgb="FF172033"/>
      </x:font>
      <x:fill>
        <x:patternFill patternType="solid">
          <x:bgColor rgb="FFD8CDF2"/>
        </x:patternFill>
      </x:fill>
    </x:dxf>
    <x:dxf>
      <x:font>
        <x:b/>
        <x:color rgb="FF172033"/>
      </x:font>
      <x:fill>
        <x:patternFill patternType="solid">
          <x:bgColor rgb="FFD6D8DC"/>
        </x:patternFill>
      </x:fill>
    </x:dxf>
    <x:dxf>
      <x:font>
        <x:b/>
        <x:color rgb="FF172033"/>
      </x:font>
      <x:fill>
        <x:patternFill patternType="solid">
          <x:bgColor rgb="FFEA9999"/>
        </x:patternFill>
      </x:fill>
    </x:dxf>
    <x:dxf>
      <x:font>
        <x:b/>
        <x:color rgb="FF172033"/>
      </x:font>
      <x:fill>
        <x:patternFill patternType="solid">
          <x:bgColor rgb="FFB7E1CD"/>
        </x:patternFill>
      </x:fill>
    </x:dxf>
    <x:dxf>
      <x:font>
        <x:b/>
        <x:color rgb="FF172033"/>
      </x:font>
      <x:fill>
        <x:patternFill patternType="solid">
          <x:bgColor rgb="FFA4C2F4"/>
        </x:patternFill>
      </x:fill>
    </x:dxf>
    <x:dxf>
      <x:font>
        <x:b/>
        <x:color rgb="FF172033"/>
      </x:font>
      <x:fill>
        <x:patternFill patternType="solid">
          <x:bgColor rgb="FFFFE599"/>
        </x:patternFill>
      </x:fill>
    </x:dxf>
    <x:dxf>
      <x:font>
        <x:b/>
        <x:color rgb="FF172033"/>
      </x:font>
      <x:fill>
        <x:patternFill patternType="solid">
          <x:bgColor rgb="FFD8CDF2"/>
        </x:patternFill>
      </x:fill>
    </x:dxf>
    <x:dxf>
      <x:font>
        <x:b/>
        <x:color rgb="FF172033"/>
      </x:font>
      <x:fill>
        <x:patternFill patternType="solid">
          <x:bgColor rgb="FFD6D8DC"/>
        </x:patternFill>
      </x:fill>
    </x:dxf>
    <x:dxf>
      <x:font>
        <x:b/>
        <x:color rgb="FF172033"/>
      </x:font>
      <x:fill>
        <x:patternFill patternType="solid">
          <x:bgColor rgb="FFEA9999"/>
        </x:patternFill>
      </x:fill>
    </x:dxf>
    <x:dxf>
      <x:font>
        <x:b/>
        <x:color rgb="FF172033"/>
      </x:font>
      <x:fill>
        <x:patternFill patternType="solid">
          <x:bgColor rgb="FFB7E1CD"/>
        </x:patternFill>
      </x:fill>
    </x:dxf>
    <x:dxf>
      <x:font>
        <x:b/>
        <x:color rgb="FF172033"/>
      </x:font>
      <x:fill>
        <x:patternFill patternType="solid">
          <x:bgColor rgb="FFA4C2F4"/>
        </x:patternFill>
      </x:fill>
    </x:dxf>
    <x:dxf>
      <x:font>
        <x:b/>
        <x:color rgb="FF172033"/>
      </x:font>
      <x:fill>
        <x:patternFill patternType="solid">
          <x:bgColor rgb="FFFFE599"/>
        </x:patternFill>
      </x:fill>
    </x:dxf>
    <x:dxf>
      <x:font>
        <x:b/>
        <x:color rgb="FF172033"/>
      </x:font>
      <x:fill>
        <x:patternFill patternType="solid">
          <x:bgColor rgb="FFD8CDF2"/>
        </x:patternFill>
      </x:fill>
    </x:dxf>
    <x:dxf>
      <x:font>
        <x:b/>
        <x:color rgb="FF172033"/>
      </x:font>
      <x:fill>
        <x:patternFill patternType="solid">
          <x:bgColor rgb="FFD6D8DC"/>
        </x:patternFill>
      </x:fill>
    </x:dxf>
    <x:dxf>
      <x:font>
        <x:b/>
        <x:color rgb="FF172033"/>
      </x:font>
      <x:fill>
        <x:patternFill patternType="solid">
          <x:bgColor rgb="FFEA9999"/>
        </x:patternFill>
      </x:fill>
    </x:dxf>
    <x:dxf>
      <x:font>
        <x:b/>
        <x:color rgb="FF172033"/>
      </x:font>
      <x:fill>
        <x:patternFill patternType="solid">
          <x:bgColor rgb="FFB7E1CD"/>
        </x:patternFill>
      </x:fill>
    </x:dxf>
    <x:dxf>
      <x:font>
        <x:b/>
        <x:color rgb="FF172033"/>
      </x:font>
      <x:fill>
        <x:patternFill patternType="solid">
          <x:bgColor rgb="FFA4C2F4"/>
        </x:patternFill>
      </x:fill>
    </x:dxf>
    <x:dxf>
      <x:font>
        <x:b/>
        <x:color rgb="FF172033"/>
      </x:font>
      <x:fill>
        <x:patternFill patternType="solid">
          <x:bgColor rgb="FFFFE599"/>
        </x:patternFill>
      </x:fill>
    </x:dxf>
    <x:dxf>
      <x:font>
        <x:b/>
        <x:color rgb="FF172033"/>
      </x:font>
      <x:fill>
        <x:patternFill patternType="solid">
          <x:bgColor rgb="FFD8CDF2"/>
        </x:patternFill>
      </x:fill>
    </x:dxf>
    <x:dxf>
      <x:font>
        <x:b/>
        <x:color rgb="FF172033"/>
      </x:font>
      <x:fill>
        <x:patternFill patternType="solid">
          <x:bgColor rgb="FFD6D8DC"/>
        </x:patternFill>
      </x:fill>
    </x:dxf>
    <x:dxf>
      <x:font>
        <x:b/>
        <x:color rgb="FF172033"/>
      </x:font>
      <x:fill>
        <x:patternFill patternType="solid">
          <x:bgColor rgb="FFEA9999"/>
        </x:patternFill>
      </x:fill>
    </x:dxf>
    <x:dxf>
      <x:font>
        <x:b/>
        <x:color rgb="FF172033"/>
      </x:font>
      <x:fill>
        <x:patternFill patternType="solid">
          <x:bgColor rgb="FFB7E1CD"/>
        </x:patternFill>
      </x:fill>
    </x:dxf>
    <x:dxf>
      <x:font>
        <x:b/>
        <x:color rgb="FF172033"/>
      </x:font>
      <x:fill>
        <x:patternFill patternType="solid">
          <x:bgColor rgb="FFA4C2F4"/>
        </x:patternFill>
      </x:fill>
    </x:dxf>
    <x:dxf>
      <x:font>
        <x:b/>
        <x:color rgb="FF172033"/>
      </x:font>
      <x:fill>
        <x:patternFill patternType="solid">
          <x:bgColor rgb="FFFFE599"/>
        </x:patternFill>
      </x:fill>
    </x:dxf>
    <x:dxf>
      <x:font>
        <x:b/>
        <x:color rgb="FF172033"/>
      </x:font>
      <x:fill>
        <x:patternFill patternType="solid">
          <x:bgColor rgb="FFD8CDF2"/>
        </x:patternFill>
      </x:fill>
    </x:dxf>
    <x:dxf>
      <x:font>
        <x:b/>
        <x:color rgb="FF172033"/>
      </x:font>
      <x:fill>
        <x:patternFill patternType="solid">
          <x:bgColor rgb="FFD6D8DC"/>
        </x:patternFill>
      </x:fill>
    </x:dxf>
    <x:dxf>
      <x:font>
        <x:b/>
        <x:color rgb="FF172033"/>
      </x:font>
      <x:fill>
        <x:patternFill patternType="solid">
          <x:bgColor rgb="FFEA9999"/>
        </x:patternFill>
      </x:fill>
    </x:dxf>
    <x:dxf>
      <x:font>
        <x:b/>
        <x:color rgb="FF172033"/>
      </x:font>
      <x:fill>
        <x:patternFill patternType="solid">
          <x:bgColor rgb="FFB7E1CD"/>
        </x:patternFill>
      </x:fill>
    </x:dxf>
    <x:dxf>
      <x:font>
        <x:b/>
        <x:color rgb="FF172033"/>
      </x:font>
      <x:fill>
        <x:patternFill patternType="solid">
          <x:bgColor rgb="FFA4C2F4"/>
        </x:patternFill>
      </x:fill>
    </x:dxf>
    <x:dxf>
      <x:font>
        <x:b/>
        <x:color rgb="FF172033"/>
      </x:font>
      <x:fill>
        <x:patternFill patternType="solid">
          <x:bgColor rgb="FFFFE599"/>
        </x:patternFill>
      </x:fill>
    </x:dxf>
    <x:dxf>
      <x:font>
        <x:b/>
        <x:color rgb="FF172033"/>
      </x:font>
      <x:fill>
        <x:patternFill patternType="solid">
          <x:bgColor rgb="FFD8CDF2"/>
        </x:patternFill>
      </x:fill>
    </x:dxf>
    <x:dxf>
      <x:font>
        <x:b/>
        <x:color rgb="FF172033"/>
      </x:font>
      <x:fill>
        <x:patternFill patternType="solid">
          <x:bgColor rgb="FFD6D8DC"/>
        </x:patternFill>
      </x:fill>
    </x:dxf>
    <x:dxf>
      <x:font>
        <x:b/>
        <x:color rgb="FF172033"/>
      </x:font>
      <x:fill>
        <x:patternFill patternType="solid">
          <x:bgColor rgb="FFEA9999"/>
        </x:patternFill>
      </x:fill>
    </x:dxf>
    <x:dxf>
      <x:font>
        <x:b/>
        <x:color rgb="FF172033"/>
      </x:font>
      <x:fill>
        <x:patternFill patternType="solid">
          <x:bgColor rgb="FFB7E1CD"/>
        </x:patternFill>
      </x:fill>
    </x:dxf>
    <x:dxf>
      <x:font>
        <x:b/>
        <x:color rgb="FF172033"/>
      </x:font>
      <x:fill>
        <x:patternFill patternType="solid">
          <x:bgColor rgb="FFA4C2F4"/>
        </x:patternFill>
      </x:fill>
    </x:dxf>
    <x:dxf>
      <x:font>
        <x:b/>
        <x:color rgb="FF172033"/>
      </x:font>
      <x:fill>
        <x:patternFill patternType="solid">
          <x:bgColor rgb="FFFFE599"/>
        </x:patternFill>
      </x:fill>
    </x:dxf>
    <x:dxf>
      <x:font>
        <x:b/>
        <x:color rgb="FF172033"/>
      </x:font>
      <x:fill>
        <x:patternFill patternType="solid">
          <x:bgColor rgb="FFD8CDF2"/>
        </x:patternFill>
      </x:fill>
    </x:dxf>
    <x:dxf>
      <x:font>
        <x:b/>
        <x:color rgb="FF172033"/>
      </x:font>
      <x:fill>
        <x:patternFill patternType="solid">
          <x:bgColor rgb="FFD6D8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c3726611be4496" /><Relationship Type="http://schemas.openxmlformats.org/officeDocument/2006/relationships/theme" Target="/xl/theme/theme1.xml" Id="Rf510d34f274c4c33" /><Relationship Type="http://schemas.openxmlformats.org/officeDocument/2006/relationships/sharedStrings" Target="/xl/sharedStrings.xml" Id="R237398ca098046d7" /><Relationship Type="http://schemas.openxmlformats.org/officeDocument/2006/relationships/worksheet" Target="/xl/worksheets/sheet1.xml" Id="R51fe5f8967764fc2" /><Relationship Type="http://schemas.openxmlformats.org/officeDocument/2006/relationships/worksheet" Target="/xl/worksheets/sheet2.xml" Id="Rae97e6b512a04037" /><Relationship Type="http://schemas.openxmlformats.org/officeDocument/2006/relationships/worksheet" Target="/xl/worksheets/sheet3.xml" Id="Rf132d16878e64ab3" /><Relationship Type="http://schemas.openxmlformats.org/officeDocument/2006/relationships/worksheet" Target="/xl/worksheets/sheet4.xml" Id="R6f5dc8f1ed9f4aad" /><Relationship Type="http://schemas.openxmlformats.org/officeDocument/2006/relationships/worksheet" Target="/xl/worksheets/sheet5.xml" Id="Rcd6147d7dfaa4846" /><Relationship Type="http://schemas.openxmlformats.org/officeDocument/2006/relationships/worksheet" Target="/xl/worksheets/sheet6.xml" Id="R0c839753c2d74b26" /><Relationship Type="http://schemas.openxmlformats.org/officeDocument/2006/relationships/worksheet" Target="/xl/worksheets/sheet7.xml" Id="Ra86b55f634a044c0" /><Relationship Type="http://schemas.openxmlformats.org/officeDocument/2006/relationships/worksheet" Target="/xl/worksheets/sheet8.xml" Id="R824ee2eb827043a1" /><Relationship Type="http://schemas.openxmlformats.org/officeDocument/2006/relationships/worksheet" Target="/xl/worksheets/sheet9.xml" Id="Rb3b5c06eebb94568" /><Relationship Type="http://schemas.openxmlformats.org/officeDocument/2006/relationships/worksheet" Target="/xl/worksheets/sheet10.xml" Id="R1c798d43df7b4017" /><Relationship Type="http://schemas.openxmlformats.org/officeDocument/2006/relationships/worksheet" Target="/xl/worksheets/sheet11.xml" Id="R1629b480b2d647c1" /><Relationship Type="http://schemas.openxmlformats.org/officeDocument/2006/relationships/worksheet" Target="/xl/worksheets/sheet12.xml" Id="Refc865aba8a84f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9b77b5b5f2a469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Next-season PPR PPG error: model vs repeat last year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Model MAE</c:v>
          </c:tx>
          <c:spPr>
            <a:solidFill xmlns:a="http://schemas.openxmlformats.org/drawingml/2006/main">
              <a:srgbClr val="F2762E"/>
            </a:solidFill>
          </c:spPr>
          <c:cat>
            <c:strRef>
              <c:f>'Backtest'!$A$5:$A$8</c:f>
              <c:strCache>
                <c:ptCount val="0"/>
              </c:strCache>
            </c:strRef>
          </c:cat>
          <c:val>
            <c:numRef>
              <c:f>'Backtest'!$C$5:$C$8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Repeat Prior-Year MAE</c:v>
          </c:tx>
          <c:spPr>
            <a:solidFill xmlns:a="http://schemas.openxmlformats.org/drawingml/2006/main">
              <a:srgbClr val="1B6F2A"/>
            </a:solidFill>
          </c:spPr>
          <c:cat>
            <c:strRef>
              <c:f>'Backtest'!$A$5:$A$8</c:f>
              <c:strCache>
                <c:ptCount val="0"/>
              </c:strCache>
            </c:strRef>
          </c:cat>
          <c:val>
            <c:numRef>
              <c:f>'Backtest'!$D$5:$D$8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7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b77b5b5f2a469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raftBoardTable" displayName="DraftBoardTable" ref="A5:X240" headerRowCount="1" totalsRowCount="0" totalsRowShown="0">
  <x:autoFilter ref="A5:X240"/>
  <x:tableColumns count="24">
    <x:tableColumn id="1" name="Status"/>
    <x:tableColumn id="2" name="ADP"/>
    <x:tableColumn id="3" name="Round"/>
    <x:tableColumn id="4" name="Decision"/>
    <x:tableColumn id="5" name="Draft Gap"/>
    <x:tableColumn id="6" name="Independent"/>
    <x:tableColumn id="7" name="Ind Gap"/>
    <x:tableColumn id="8" name="Signal"/>
    <x:tableColumn id="9" name="Player"/>
    <x:tableColumn id="10" name="Pos"/>
    <x:tableColumn id="11" name="Pos Rank"/>
    <x:tableColumn id="12" name="Team"/>
    <x:tableColumn id="13" name="Bye"/>
    <x:tableColumn id="14" name="Our 17G"/>
    <x:tableColumn id="15" name="Sleeper"/>
    <x:tableColumn id="16" name="Proj Gap"/>
    <x:tableColumn id="17" name="Decision Pts"/>
    <x:tableColumn id="18" name="Exp G"/>
    <x:tableColumn id="19" name="VBD"/>
    <x:tableColumn id="20" name="Confidence"/>
    <x:tableColumn id="21" name="Pass Rank"/>
    <x:tableColumn id="22" name="Rush Rank"/>
    <x:tableColumn id="23" name="Injury"/>
    <x:tableColumn id="24" name="Wh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dependentRankingsTable" displayName="IndependentRankingsTable" ref="A4:R239" headerRowCount="1" totalsRowCount="0" totalsRowShown="0">
  <x:autoFilter ref="A4:R239"/>
  <x:tableColumns count="18">
    <x:tableColumn id="1" name="Rank"/>
    <x:tableColumn id="2" name="ADP"/>
    <x:tableColumn id="3" name="Gap"/>
    <x:tableColumn id="4" name="Player"/>
    <x:tableColumn id="5" name="Pos"/>
    <x:tableColumn id="6" name="Team"/>
    <x:tableColumn id="7" name="Bye"/>
    <x:tableColumn id="8" name="Our 17G"/>
    <x:tableColumn id="9" name="Sleeper"/>
    <x:tableColumn id="10" name="Proj Gap"/>
    <x:tableColumn id="11" name="Decision Pts"/>
    <x:tableColumn id="12" name="Exp G"/>
    <x:tableColumn id="13" name="VBD"/>
    <x:tableColumn id="14" name="Confidence"/>
    <x:tableColumn id="15" name="Pass Rank"/>
    <x:tableColumn id="16" name="Rush Rank"/>
    <x:tableColumn id="17" name="Injury"/>
    <x:tableColumn id="18" name="Wh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cisionRankingsTable" displayName="DecisionRankingsTable" ref="A4:R239" headerRowCount="1" totalsRowCount="0" totalsRowShown="0">
  <x:autoFilter ref="A4:R239"/>
  <x:tableColumns count="18">
    <x:tableColumn id="1" name="Rank"/>
    <x:tableColumn id="2" name="ADP"/>
    <x:tableColumn id="3" name="Gap"/>
    <x:tableColumn id="4" name="Player"/>
    <x:tableColumn id="5" name="Pos"/>
    <x:tableColumn id="6" name="Team"/>
    <x:tableColumn id="7" name="Bye"/>
    <x:tableColumn id="8" name="Our 17G"/>
    <x:tableColumn id="9" name="Sleeper"/>
    <x:tableColumn id="10" name="Proj Gap"/>
    <x:tableColumn id="11" name="Decision Pts"/>
    <x:tableColumn id="12" name="Exp G"/>
    <x:tableColumn id="13" name="VBD"/>
    <x:tableColumn id="14" name="Confidence"/>
    <x:tableColumn id="15" name="Pass Rank"/>
    <x:tableColumn id="16" name="Rush Rank"/>
    <x:tableColumn id="17" name="Injury"/>
    <x:tableColumn id="18" name="Wh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BPositionTable" displayName="QBPositionTable" ref="A4:Z37" headerRowCount="1" totalsRowCount="0" totalsRowShown="0">
  <x:autoFilter ref="A4:Z37"/>
  <x:tableColumns count="26">
    <x:tableColumn id="1" name="Pos Rank"/>
    <x:tableColumn id="2" name="Decision"/>
    <x:tableColumn id="3" name="Independent"/>
    <x:tableColumn id="4" name="ADP"/>
    <x:tableColumn id="5" name="Draft Gap"/>
    <x:tableColumn id="6" name="Ind Gap"/>
    <x:tableColumn id="7" name="Player"/>
    <x:tableColumn id="8" name="Team"/>
    <x:tableColumn id="9" name="Bye"/>
    <x:tableColumn id="10" name="Our 17G"/>
    <x:tableColumn id="11" name="Sleeper"/>
    <x:tableColumn id="12" name="Proj Gap"/>
    <x:tableColumn id="13" name="Decision Pts"/>
    <x:tableColumn id="14" name="Exp G"/>
    <x:tableColumn id="15" name="VBD"/>
    <x:tableColumn id="16" name="Confidence"/>
    <x:tableColumn id="17" name="Pass Rank"/>
    <x:tableColumn id="18" name="Rush Rank"/>
    <x:tableColumn id="19" name="Own Pass Att"/>
    <x:tableColumn id="20" name="Sleeper Pass Att"/>
    <x:tableColumn id="21" name="Own Carries"/>
    <x:tableColumn id="22" name="Sleeper Carries"/>
    <x:tableColumn id="23" name="2025 PPG"/>
    <x:tableColumn id="24" name="2025 G"/>
    <x:tableColumn id="25" name="Injury"/>
    <x:tableColumn id="26" name="Wh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BPositionTable" displayName="RBPositionTable" ref="A4:Z76" headerRowCount="1" totalsRowCount="0" totalsRowShown="0">
  <x:autoFilter ref="A4:Z76"/>
  <x:tableColumns count="26">
    <x:tableColumn id="1" name="Pos Rank"/>
    <x:tableColumn id="2" name="Decision"/>
    <x:tableColumn id="3" name="Independent"/>
    <x:tableColumn id="4" name="ADP"/>
    <x:tableColumn id="5" name="Draft Gap"/>
    <x:tableColumn id="6" name="Ind Gap"/>
    <x:tableColumn id="7" name="Player"/>
    <x:tableColumn id="8" name="Team"/>
    <x:tableColumn id="9" name="Bye"/>
    <x:tableColumn id="10" name="Our 17G"/>
    <x:tableColumn id="11" name="Sleeper"/>
    <x:tableColumn id="12" name="Proj Gap"/>
    <x:tableColumn id="13" name="Decision Pts"/>
    <x:tableColumn id="14" name="Exp G"/>
    <x:tableColumn id="15" name="VBD"/>
    <x:tableColumn id="16" name="Confidence"/>
    <x:tableColumn id="17" name="Pass Rank"/>
    <x:tableColumn id="18" name="Rush Rank"/>
    <x:tableColumn id="19" name="Own Targets"/>
    <x:tableColumn id="20" name="Sleeper Targets"/>
    <x:tableColumn id="21" name="Own Carries"/>
    <x:tableColumn id="22" name="Sleeper Carries"/>
    <x:tableColumn id="23" name="2025 PPG"/>
    <x:tableColumn id="24" name="2025 G"/>
    <x:tableColumn id="25" name="Injury"/>
    <x:tableColumn id="26" name="Wh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RPositionTable" displayName="WRPositionTable" ref="A4:Z100" headerRowCount="1" totalsRowCount="0" totalsRowShown="0">
  <x:autoFilter ref="A4:Z100"/>
  <x:tableColumns count="26">
    <x:tableColumn id="1" name="Pos Rank"/>
    <x:tableColumn id="2" name="Decision"/>
    <x:tableColumn id="3" name="Independent"/>
    <x:tableColumn id="4" name="ADP"/>
    <x:tableColumn id="5" name="Draft Gap"/>
    <x:tableColumn id="6" name="Ind Gap"/>
    <x:tableColumn id="7" name="Player"/>
    <x:tableColumn id="8" name="Team"/>
    <x:tableColumn id="9" name="Bye"/>
    <x:tableColumn id="10" name="Our 17G"/>
    <x:tableColumn id="11" name="Sleeper"/>
    <x:tableColumn id="12" name="Proj Gap"/>
    <x:tableColumn id="13" name="Decision Pts"/>
    <x:tableColumn id="14" name="Exp G"/>
    <x:tableColumn id="15" name="VBD"/>
    <x:tableColumn id="16" name="Confidence"/>
    <x:tableColumn id="17" name="Pass Rank"/>
    <x:tableColumn id="18" name="Rush Rank"/>
    <x:tableColumn id="19" name="Own Targets"/>
    <x:tableColumn id="20" name="Sleeper Targets"/>
    <x:tableColumn id="21" name="Own Carries"/>
    <x:tableColumn id="22" name="Sleeper Carries"/>
    <x:tableColumn id="23" name="2025 PPG"/>
    <x:tableColumn id="24" name="2025 G"/>
    <x:tableColumn id="25" name="Injury"/>
    <x:tableColumn id="26" name="Wh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EPositionTable" displayName="TEPositionTable" ref="A4:Z38" headerRowCount="1" totalsRowCount="0" totalsRowShown="0">
  <x:autoFilter ref="A4:Z38"/>
  <x:tableColumns count="26">
    <x:tableColumn id="1" name="Pos Rank"/>
    <x:tableColumn id="2" name="Decision"/>
    <x:tableColumn id="3" name="Independent"/>
    <x:tableColumn id="4" name="ADP"/>
    <x:tableColumn id="5" name="Draft Gap"/>
    <x:tableColumn id="6" name="Ind Gap"/>
    <x:tableColumn id="7" name="Player"/>
    <x:tableColumn id="8" name="Team"/>
    <x:tableColumn id="9" name="Bye"/>
    <x:tableColumn id="10" name="Our 17G"/>
    <x:tableColumn id="11" name="Sleeper"/>
    <x:tableColumn id="12" name="Proj Gap"/>
    <x:tableColumn id="13" name="Decision Pts"/>
    <x:tableColumn id="14" name="Exp G"/>
    <x:tableColumn id="15" name="VBD"/>
    <x:tableColumn id="16" name="Confidence"/>
    <x:tableColumn id="17" name="Pass Rank"/>
    <x:tableColumn id="18" name="Rush Rank"/>
    <x:tableColumn id="19" name="Own Targets"/>
    <x:tableColumn id="20" name="Sleeper Targets"/>
    <x:tableColumn id="21" name="Own Carries"/>
    <x:tableColumn id="22" name="Sleeper Carries"/>
    <x:tableColumn id="23" name="2025 PPG"/>
    <x:tableColumn id="24" name="2025 G"/>
    <x:tableColumn id="25" name="Injury"/>
    <x:tableColumn id="26" name="Wh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eamEnvironmentTable" displayName="TeamEnvironmentTable" ref="A4:L36" headerRowCount="1" totalsRowCount="0" totalsRowShown="0">
  <x:autoFilter ref="A4:L36"/>
  <x:tableColumns count="12">
    <x:tableColumn id="1" name="Pass Rank"/>
    <x:tableColumn id="2" name="Team"/>
    <x:tableColumn id="3" name="Pass Att/G"/>
    <x:tableColumn id="4" name="Pass Rate"/>
    <x:tableColumn id="5" name="Pass Yds/G"/>
    <x:tableColumn id="6" name="Pass TD/G"/>
    <x:tableColumn id="7" name="Rush Rank"/>
    <x:tableColumn id="8" name="Carries/G"/>
    <x:tableColumn id="9" name="Rush Yds/G"/>
    <x:tableColumn id="10" name="Rush TD/G"/>
    <x:tableColumn id="11" name="Plays/G"/>
    <x:tableColumn id="12" name="Pass EPA/At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BacktestSelectedTable" displayName="BacktestSelectedTable" ref="A4:G8" headerRowCount="1" totalsRowCount="0" totalsRowShown="0">
  <x:autoFilter ref="A4:G8"/>
  <x:tableColumns count="7">
    <x:tableColumn id="1" name="Pos"/>
    <x:tableColumn id="2" name="Selected Model"/>
    <x:tableColumn id="3" name="Model MAE"/>
    <x:tableColumn id="4" name="Repeat Prior-Year MAE"/>
    <x:tableColumn id="5" name="MAE Improvement"/>
    <x:tableColumn id="6" name="Rank Corr"/>
    <x:tableColumn id="7" name="Player Test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KickerDefenseTable" displayName="KickerDefenseTable" ref="A4:H45" headerRowCount="1" totalsRowCount="0" totalsRowShown="0">
  <x:autoFilter ref="A4:H45"/>
  <x:tableColumns count="8">
    <x:tableColumn id="1" name="ADP"/>
    <x:tableColumn id="2" name="Round"/>
    <x:tableColumn id="3" name="Player"/>
    <x:tableColumn id="4" name="Pos"/>
    <x:tableColumn id="5" name="Team"/>
    <x:tableColumn id="6" name="Bye"/>
    <x:tableColumn id="7" name="Sleeper Pts"/>
    <x:tableColumn id="8" name="Inju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cf59093ceb46c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5322a9f6f34b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873b27846cd45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f0826b682514b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f6496ddf10546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4178d02da844a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6a1a97ed5e144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e05fdae360f49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8adaf6d9a2554390" /><Relationship Type="http://schemas.openxmlformats.org/officeDocument/2006/relationships/table" Target="/xl/tables/table9.xml" Id="R63081dc0cf9048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fdcca409ff04b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8" hidden="0" customWidth="1"/>
    <x:col min="4" max="4" width="9" hidden="0" customWidth="1"/>
    <x:col min="5" max="5" width="10" hidden="0" customWidth="1"/>
    <x:col min="6" max="6" width="11" hidden="0" customWidth="1"/>
    <x:col min="7" max="7" width="9" hidden="0" customWidth="1"/>
    <x:col min="8" max="8" width="13" hidden="0" customWidth="1"/>
    <x:col min="9" max="9" width="24" hidden="0" customWidth="1"/>
    <x:col min="10" max="10" width="7" hidden="0" customWidth="1"/>
    <x:col min="11" max="11" width="9" hidden="0" customWidth="1"/>
    <x:col min="12" max="12" width="8" hidden="0" customWidth="1"/>
    <x:col min="13" max="13" width="7" hidden="0" customWidth="1"/>
    <x:col min="14" max="14" width="10" hidden="0" customWidth="1"/>
    <x:col min="15" max="15" width="10" hidden="0" customWidth="1"/>
    <x:col min="16" max="16" width="10" hidden="0" customWidth="1"/>
    <x:col min="17" max="17" width="11" hidden="0" customWidth="1"/>
    <x:col min="18" max="18" width="8" hidden="0" customWidth="1"/>
    <x:col min="19" max="19" width="9" hidden="0" customWidth="1"/>
    <x:col min="20" max="20" width="11" hidden="0" customWidth="1"/>
    <x:col min="21" max="21" width="10" hidden="0" customWidth="1"/>
    <x:col min="22" max="22" width="10" hidden="0" customWidth="1"/>
    <x:col min="23" max="23" width="10" hidden="0" customWidth="1"/>
    <x:col min="24" max="24" width="52" hidden="0" customWidth="1"/>
  </x:cols>
  <x:sheetData>
    <x:row r="1" ht="32" customHeight="1">
      <x:c r="A1" s="3" t="str">
        <x:v>2026 FANTASY DRAFT BOARD</x:v>
      </x:c>
    </x:row>
    <x:row r="2" ht="26" customHeight="1">
      <x:c r="A2" s="7" t="str">
        <x:v>12-team PPR | independent forecast + confidence blend | positive gaps mean our model likes the player earlier than Sleeper</x:v>
      </x:c>
    </x:row>
    <x:row r="3">
      <x:c r="A3" s="10" t="str">
        <x:v>Use Status during the draft. Our 17G is the independent full-season pace; Decision blends it with Sleeper by confidence. Expected games affects only points above replacement.</x:v>
      </x:c>
    </x:row>
    <x:row r="5" ht="25" customHeight="1">
      <x:c r="A5" s="11" t="str">
        <x:v>Status</x:v>
      </x:c>
      <x:c r="B5" s="11" t="str">
        <x:v>ADP</x:v>
      </x:c>
      <x:c r="C5" s="11" t="str">
        <x:v>Round</x:v>
      </x:c>
      <x:c r="D5" s="11" t="str">
        <x:v>Decision</x:v>
      </x:c>
      <x:c r="E5" s="11" t="str">
        <x:v>Draft Gap</x:v>
      </x:c>
      <x:c r="F5" s="11" t="str">
        <x:v>Independent</x:v>
      </x:c>
      <x:c r="G5" s="11" t="str">
        <x:v>Ind Gap</x:v>
      </x:c>
      <x:c r="H5" s="11" t="str">
        <x:v>Signal</x:v>
      </x:c>
      <x:c r="I5" s="11" t="str">
        <x:v>Player</x:v>
      </x:c>
      <x:c r="J5" s="11" t="str">
        <x:v>Pos</x:v>
      </x:c>
      <x:c r="K5" s="11" t="str">
        <x:v>Pos Rank</x:v>
      </x:c>
      <x:c r="L5" s="11" t="str">
        <x:v>Team</x:v>
      </x:c>
      <x:c r="M5" s="11" t="str">
        <x:v>Bye</x:v>
      </x:c>
      <x:c r="N5" s="11" t="str">
        <x:v>Our 17G</x:v>
      </x:c>
      <x:c r="O5" s="11" t="str">
        <x:v>Sleeper</x:v>
      </x:c>
      <x:c r="P5" s="11" t="str">
        <x:v>Proj Gap</x:v>
      </x:c>
      <x:c r="Q5" s="11" t="str">
        <x:v>Decision Pts</x:v>
      </x:c>
      <x:c r="R5" s="11" t="str">
        <x:v>Exp G</x:v>
      </x:c>
      <x:c r="S5" s="11" t="str">
        <x:v>VBD</x:v>
      </x:c>
      <x:c r="T5" s="11" t="str">
        <x:v>Confidence</x:v>
      </x:c>
      <x:c r="U5" s="11" t="str">
        <x:v>Pass Rank</x:v>
      </x:c>
      <x:c r="V5" s="11" t="str">
        <x:v>Rush Rank</x:v>
      </x:c>
      <x:c r="W5" s="11" t="str">
        <x:v>Injury</x:v>
      </x:c>
      <x:c r="X5" s="11" t="str">
        <x:v>Why</x:v>
      </x:c>
    </x:row>
    <x:row r="6" ht="19" customHeight="1">
      <x:c r="A6" s="11" t="str">
        <x:v>Available</x:v>
      </x:c>
      <x:c r="B6" s="12" t="n">
        <x:v>1.1</x:v>
      </x:c>
      <x:c r="C6" s="12" t="n">
        <x:f>ROUNDUP(B6/12,0)</x:f>
        <x:v>1</x:v>
      </x:c>
      <x:c r="D6" s="13" t="n">
        <x:v>3</x:v>
      </x:c>
      <x:c r="E6" s="12" t="n">
        <x:f>B6-D6</x:f>
        <x:v>-1.9</x:v>
      </x:c>
      <x:c r="F6" s="13" t="n">
        <x:v>5</x:v>
      </x:c>
      <x:c r="G6" s="12" t="n">
        <x:f>B6-F6</x:f>
        <x:v>-3.9</x:v>
      </x:c>
      <x:c r="H6" s="11" t="str">
        <x:v>Fair</x:v>
      </x:c>
      <x:c r="I6" s="11" t="str">
        <x:v>Jahmyr Gibbs</x:v>
      </x:c>
      <x:c r="J6" s="11" t="str">
        <x:v>RB</x:v>
      </x:c>
      <x:c r="K6" s="13" t="n">
        <x:v>2</x:v>
      </x:c>
      <x:c r="L6" s="13" t="str">
        <x:v>DET</x:v>
      </x:c>
      <x:c r="M6" s="13" t="n">
        <x:v>6</x:v>
      </x:c>
      <x:c r="N6" s="12" t="n">
        <x:v>312.1</x:v>
      </x:c>
      <x:c r="O6" s="12" t="n">
        <x:v>331</x:v>
      </x:c>
      <x:c r="P6" s="12" t="n">
        <x:f>N6-O6</x:f>
        <x:v>-18.899999999999977</x:v>
      </x:c>
      <x:c r="Q6" s="12" t="n">
        <x:v>318.7</x:v>
      </x:c>
      <x:c r="R6" s="12" t="n">
        <x:v>15.8</x:v>
      </x:c>
      <x:c r="S6" s="12" t="n">
        <x:v>131.1</x:v>
      </x:c>
      <x:c r="T6" s="11" t="str">
        <x:v>High</x:v>
      </x:c>
      <x:c r="U6" s="13" t="n">
        <x:v>10</x:v>
      </x:c>
      <x:c r="V6" s="13" t="n">
        <x:v>7</x:v>
      </x:c>
      <x:c r="W6" s="11"/>
      <x:c r="X6" s="11" t="str">
        <x:v>Veteran model: 2025 form, prior-year trend and same team pass/run forecast; team pass volume #10, rush volume #7</x:v>
      </x:c>
    </x:row>
    <x:row r="7" ht="19" customHeight="1">
      <x:c r="A7" s="11" t="str">
        <x:v>Available</x:v>
      </x:c>
      <x:c r="B7" s="12" t="n">
        <x:v>2.6</x:v>
      </x:c>
      <x:c r="C7" s="12" t="n">
        <x:f>ROUNDUP(B7/12,0)</x:f>
        <x:v>1</x:v>
      </x:c>
      <x:c r="D7" s="13" t="n">
        <x:v>1</x:v>
      </x:c>
      <x:c r="E7" s="12" t="n">
        <x:f>B7-D7</x:f>
        <x:v>1.6</x:v>
      </x:c>
      <x:c r="F7" s="13" t="n">
        <x:v>3</x:v>
      </x:c>
      <x:c r="G7" s="12" t="n">
        <x:f>B7-F7</x:f>
        <x:v>-0.3999999999999999</x:v>
      </x:c>
      <x:c r="H7" s="11" t="str">
        <x:v>Fair</x:v>
      </x:c>
      <x:c r="I7" s="11" t="str">
        <x:v>Bijan Robinson</x:v>
      </x:c>
      <x:c r="J7" s="11" t="str">
        <x:v>RB</x:v>
      </x:c>
      <x:c r="K7" s="13" t="n">
        <x:v>1</x:v>
      </x:c>
      <x:c r="L7" s="13" t="str">
        <x:v>ATL</x:v>
      </x:c>
      <x:c r="M7" s="13" t="n">
        <x:v>11</x:v>
      </x:c>
      <x:c r="N7" s="12" t="n">
        <x:v>335.4</x:v>
      </x:c>
      <x:c r="O7" s="12" t="n">
        <x:v>325</x:v>
      </x:c>
      <x:c r="P7" s="12" t="n">
        <x:f>N7-O7</x:f>
        <x:v>10.399999999999977</x:v>
      </x:c>
      <x:c r="Q7" s="12" t="n">
        <x:v>331.7</x:v>
      </x:c>
      <x:c r="R7" s="12" t="n">
        <x:v>16</x:v>
      </x:c>
      <x:c r="S7" s="12" t="n">
        <x:v>145</x:v>
      </x:c>
      <x:c r="T7" s="11" t="str">
        <x:v>High</x:v>
      </x:c>
      <x:c r="U7" s="13" t="n">
        <x:v>17</x:v>
      </x:c>
      <x:c r="V7" s="13" t="n">
        <x:v>5</x:v>
      </x:c>
      <x:c r="W7" s="11"/>
      <x:c r="X7" s="11" t="str">
        <x:v>Veteran model: 2025 form, prior-year trend and same team pass/run forecast; team pass volume #17, rush volume #5</x:v>
      </x:c>
    </x:row>
    <x:row r="8" ht="19" customHeight="1">
      <x:c r="A8" s="11" t="str">
        <x:v>Available</x:v>
      </x:c>
      <x:c r="B8" s="12" t="n">
        <x:v>3.8</x:v>
      </x:c>
      <x:c r="C8" s="12" t="n">
        <x:f>ROUNDUP(B8/12,0)</x:f>
        <x:v>1</x:v>
      </x:c>
      <x:c r="D8" s="13" t="n">
        <x:v>5</x:v>
      </x:c>
      <x:c r="E8" s="12" t="n">
        <x:f>B8-D8</x:f>
        <x:v>-1.2000000000000002</x:v>
      </x:c>
      <x:c r="F8" s="13" t="n">
        <x:v>4</x:v>
      </x:c>
      <x:c r="G8" s="12" t="n">
        <x:f>B8-F8</x:f>
        <x:v>-0.20000000000000018</x:v>
      </x:c>
      <x:c r="H8" s="11" t="str">
        <x:v>Fair</x:v>
      </x:c>
      <x:c r="I8" s="11" t="str">
        <x:v>Ja'Marr Chase</x:v>
      </x:c>
      <x:c r="J8" s="11" t="str">
        <x:v>WR</x:v>
      </x:c>
      <x:c r="K8" s="13" t="n">
        <x:v>2</x:v>
      </x:c>
      <x:c r="L8" s="13" t="str">
        <x:v>CIN</x:v>
      </x:c>
      <x:c r="M8" s="13" t="n">
        <x:v>6</x:v>
      </x:c>
      <x:c r="N8" s="12" t="n">
        <x:v>327.5</x:v>
      </x:c>
      <x:c r="O8" s="12" t="n">
        <x:v>311</x:v>
      </x:c>
      <x:c r="P8" s="12" t="n">
        <x:f>N8-O8</x:f>
        <x:v>16.5</x:v>
      </x:c>
      <x:c r="Q8" s="12" t="n">
        <x:v>321.7</x:v>
      </x:c>
      <x:c r="R8" s="12" t="n">
        <x:v>15.2</x:v>
      </x:c>
      <x:c r="S8" s="12" t="n">
        <x:v>125.1</x:v>
      </x:c>
      <x:c r="T8" s="11" t="str">
        <x:v>High</x:v>
      </x:c>
      <x:c r="U8" s="13" t="n">
        <x:v>1</x:v>
      </x:c>
      <x:c r="V8" s="13" t="n">
        <x:v>31</x:v>
      </x:c>
      <x:c r="W8" s="11"/>
      <x:c r="X8" s="11" t="str">
        <x:v>Veteran model: 2025 form, prior-year trend and same team pass/run forecast; team pass volume #1, rush volume #31</x:v>
      </x:c>
    </x:row>
    <x:row r="9" ht="19" customHeight="1">
      <x:c r="A9" s="11" t="str">
        <x:v>Available</x:v>
      </x:c>
      <x:c r="B9" s="12" t="n">
        <x:v>4.4</x:v>
      </x:c>
      <x:c r="C9" s="12" t="n">
        <x:f>ROUNDUP(B9/12,0)</x:f>
        <x:v>1</x:v>
      </x:c>
      <x:c r="D9" s="13" t="n">
        <x:v>2</x:v>
      </x:c>
      <x:c r="E9" s="12" t="n">
        <x:f>B9-D9</x:f>
        <x:v>2.4000000000000004</x:v>
      </x:c>
      <x:c r="F9" s="13" t="n">
        <x:v>1</x:v>
      </x:c>
      <x:c r="G9" s="12" t="n">
        <x:f>B9-F9</x:f>
        <x:v>3.4000000000000004</x:v>
      </x:c>
      <x:c r="H9" s="11" t="str">
        <x:v>Fair</x:v>
      </x:c>
      <x:c r="I9" s="11" t="str">
        <x:v>Puka Nacua</x:v>
      </x:c>
      <x:c r="J9" s="11" t="str">
        <x:v>WR</x:v>
      </x:c>
      <x:c r="K9" s="13" t="n">
        <x:v>1</x:v>
      </x:c>
      <x:c r="L9" s="13" t="str">
        <x:v>LAR</x:v>
      </x:c>
      <x:c r="M9" s="13" t="n">
        <x:v>11</x:v>
      </x:c>
      <x:c r="N9" s="12" t="n">
        <x:v>341.2</x:v>
      </x:c>
      <x:c r="O9" s="12" t="n">
        <x:v>313</x:v>
      </x:c>
      <x:c r="P9" s="12" t="n">
        <x:f>N9-O9</x:f>
        <x:v>28.19999999999999</x:v>
      </x:c>
      <x:c r="Q9" s="12" t="n">
        <x:v>331.3</x:v>
      </x:c>
      <x:c r="R9" s="12" t="n">
        <x:v>16.2</x:v>
      </x:c>
      <x:c r="S9" s="12" t="n">
        <x:v>142.5</x:v>
      </x:c>
      <x:c r="T9" s="11" t="str">
        <x:v>High</x:v>
      </x:c>
      <x:c r="U9" s="13" t="n">
        <x:v>7</x:v>
      </x:c>
      <x:c r="V9" s="13" t="n">
        <x:v>14</x:v>
      </x:c>
      <x:c r="W9" s="11" t="str">
        <x:v>Ques</x:v>
      </x:c>
      <x:c r="X9" s="11" t="str">
        <x:v>Veteran model: 2025 form, prior-year trend and same team pass/run forecast; team pass volume #7, rush volume #14</x:v>
      </x:c>
    </x:row>
    <x:row r="10" ht="19" customHeight="1">
      <x:c r="A10" s="11" t="str">
        <x:v>Available</x:v>
      </x:c>
      <x:c r="B10" s="12" t="n">
        <x:v>5.5</x:v>
      </x:c>
      <x:c r="C10" s="12" t="n">
        <x:f>ROUNDUP(B10/12,0)</x:f>
        <x:v>1</x:v>
      </x:c>
      <x:c r="D10" s="13" t="n">
        <x:v>6</x:v>
      </x:c>
      <x:c r="E10" s="12" t="n">
        <x:f>B10-D10</x:f>
        <x:v>-0.5</x:v>
      </x:c>
      <x:c r="F10" s="13" t="n">
        <x:v>6</x:v>
      </x:c>
      <x:c r="G10" s="12" t="n">
        <x:f>B10-F10</x:f>
        <x:v>-0.5</x:v>
      </x:c>
      <x:c r="H10" s="11" t="str">
        <x:v>Fair</x:v>
      </x:c>
      <x:c r="I10" s="11" t="str">
        <x:v>Christian McCaffrey</x:v>
      </x:c>
      <x:c r="J10" s="11" t="str">
        <x:v>RB</x:v>
      </x:c>
      <x:c r="K10" s="13" t="n">
        <x:v>3</x:v>
      </x:c>
      <x:c r="L10" s="13" t="str">
        <x:v>SF</x:v>
      </x:c>
      <x:c r="M10" s="13" t="n">
        <x:v>8</x:v>
      </x:c>
      <x:c r="N10" s="12" t="n">
        <x:v>326</x:v>
      </x:c>
      <x:c r="O10" s="12" t="n">
        <x:v>291</x:v>
      </x:c>
      <x:c r="P10" s="12" t="n">
        <x:f>N10-O10</x:f>
        <x:v>35</x:v>
      </x:c>
      <x:c r="Q10" s="12" t="n">
        <x:v>313.7</x:v>
      </x:c>
      <x:c r="R10" s="12" t="n">
        <x:v>13.8</x:v>
      </x:c>
      <x:c r="S10" s="12" t="n">
        <x:v>110.5</x:v>
      </x:c>
      <x:c r="T10" s="11" t="str">
        <x:v>High</x:v>
      </x:c>
      <x:c r="U10" s="13" t="n">
        <x:v>16</x:v>
      </x:c>
      <x:c r="V10" s="13" t="n">
        <x:v>9</x:v>
      </x:c>
      <x:c r="W10" s="11" t="str">
        <x:v>Ques</x:v>
      </x:c>
      <x:c r="X10" s="11" t="str">
        <x:v>Veteran model: 2025 form, prior-year trend and same team pass/run forecast; team pass volume #16, rush volume #9</x:v>
      </x:c>
    </x:row>
    <x:row r="11" ht="19" customHeight="1">
      <x:c r="A11" s="11" t="str">
        <x:v>Available</x:v>
      </x:c>
      <x:c r="B11" s="12" t="n">
        <x:v>6.1</x:v>
      </x:c>
      <x:c r="C11" s="12" t="n">
        <x:f>ROUNDUP(B11/12,0)</x:f>
        <x:v>1</x:v>
      </x:c>
      <x:c r="D11" s="13" t="n">
        <x:v>4</x:v>
      </x:c>
      <x:c r="E11" s="12" t="n">
        <x:f>B11-D11</x:f>
        <x:v>2.0999999999999996</x:v>
      </x:c>
      <x:c r="F11" s="13" t="n">
        <x:v>2</x:v>
      </x:c>
      <x:c r="G11" s="12" t="n">
        <x:f>B11-F11</x:f>
        <x:v>4.1</x:v>
      </x:c>
      <x:c r="H11" s="11" t="str">
        <x:v>Fair</x:v>
      </x:c>
      <x:c r="I11" s="11" t="str">
        <x:v>Jaxon Smith-Njigba</x:v>
      </x:c>
      <x:c r="J11" s="11" t="str">
        <x:v>WR</x:v>
      </x:c>
      <x:c r="K11" s="13" t="n">
        <x:v>3</x:v>
      </x:c>
      <x:c r="L11" s="13" t="str">
        <x:v>SEA</x:v>
      </x:c>
      <x:c r="M11" s="13" t="n">
        <x:v>11</x:v>
      </x:c>
      <x:c r="N11" s="12" t="n">
        <x:v>335.5</x:v>
      </x:c>
      <x:c r="O11" s="12" t="n">
        <x:v>285</x:v>
      </x:c>
      <x:c r="P11" s="12" t="n">
        <x:f>N11-O11</x:f>
        <x:v>50.5</x:v>
      </x:c>
      <x:c r="Q11" s="12" t="n">
        <x:v>317.8</x:v>
      </x:c>
      <x:c r="R11" s="12" t="n">
        <x:v>16.2</x:v>
      </x:c>
      <x:c r="S11" s="12" t="n">
        <x:v>129.6</x:v>
      </x:c>
      <x:c r="T11" s="11" t="str">
        <x:v>High</x:v>
      </x:c>
      <x:c r="U11" s="13" t="n">
        <x:v>23</x:v>
      </x:c>
      <x:c r="V11" s="13" t="n">
        <x:v>21</x:v>
      </x:c>
      <x:c r="W11" s="11"/>
      <x:c r="X11" s="11" t="str">
        <x:v>Veteran model: 2025 form, prior-year trend and same team pass/run forecast; team pass volume #23, rush volume #21</x:v>
      </x:c>
    </x:row>
    <x:row r="12" ht="19" customHeight="1">
      <x:c r="A12" s="11" t="str">
        <x:v>Available</x:v>
      </x:c>
      <x:c r="B12" s="12" t="n">
        <x:v>6.1</x:v>
      </x:c>
      <x:c r="C12" s="12" t="n">
        <x:f>ROUNDUP(B12/12,0)</x:f>
        <x:v>1</x:v>
      </x:c>
      <x:c r="D12" s="13" t="n">
        <x:v>9</x:v>
      </x:c>
      <x:c r="E12" s="12" t="n">
        <x:f>B12-D12</x:f>
        <x:v>-2.9000000000000004</x:v>
      </x:c>
      <x:c r="F12" s="13" t="n">
        <x:v>10</x:v>
      </x:c>
      <x:c r="G12" s="12" t="n">
        <x:f>B12-F12</x:f>
        <x:v>-3.9000000000000004</x:v>
      </x:c>
      <x:c r="H12" s="11" t="str">
        <x:v>Fair</x:v>
      </x:c>
      <x:c r="I12" s="11" t="str">
        <x:v>Jonathan Taylor</x:v>
      </x:c>
      <x:c r="J12" s="11" t="str">
        <x:v>RB</x:v>
      </x:c>
      <x:c r="K12" s="13" t="n">
        <x:v>4</x:v>
      </x:c>
      <x:c r="L12" s="13" t="str">
        <x:v>IND</x:v>
      </x:c>
      <x:c r="M12" s="13" t="n">
        <x:v>13</x:v>
      </x:c>
      <x:c r="N12" s="12" t="n">
        <x:v>280.3</x:v>
      </x:c>
      <x:c r="O12" s="12" t="n">
        <x:v>272</x:v>
      </x:c>
      <x:c r="P12" s="12" t="n">
        <x:f>N12-O12</x:f>
        <x:v>8.300000000000011</x:v>
      </x:c>
      <x:c r="Q12" s="12" t="n">
        <x:v>277.4</x:v>
      </x:c>
      <x:c r="R12" s="12" t="n">
        <x:v>14.5</x:v>
      </x:c>
      <x:c r="S12" s="12" t="n">
        <x:v>85.1</x:v>
      </x:c>
      <x:c r="T12" s="11" t="str">
        <x:v>High</x:v>
      </x:c>
      <x:c r="U12" s="13" t="n">
        <x:v>21</x:v>
      </x:c>
      <x:c r="V12" s="13" t="n">
        <x:v>13</x:v>
      </x:c>
      <x:c r="W12" s="11"/>
      <x:c r="X12" s="11" t="str">
        <x:v>Veteran model: 2025 form, prior-year trend and same team pass/run forecast; team pass volume #21, rush volume #13</x:v>
      </x:c>
    </x:row>
    <x:row r="13" ht="19" customHeight="1">
      <x:c r="A13" s="11" t="str">
        <x:v>Available</x:v>
      </x:c>
      <x:c r="B13" s="12" t="n">
        <x:v>8.4</x:v>
      </x:c>
      <x:c r="C13" s="12" t="n">
        <x:f>ROUNDUP(B13/12,0)</x:f>
        <x:v>1</x:v>
      </x:c>
      <x:c r="D13" s="13" t="n">
        <x:v>7</x:v>
      </x:c>
      <x:c r="E13" s="12" t="n">
        <x:f>B13-D13</x:f>
        <x:v>1.4000000000000004</x:v>
      </x:c>
      <x:c r="F13" s="13" t="n">
        <x:v>7</x:v>
      </x:c>
      <x:c r="G13" s="12" t="n">
        <x:f>B13-F13</x:f>
        <x:v>1.4000000000000004</x:v>
      </x:c>
      <x:c r="H13" s="11" t="str">
        <x:v>Fair</x:v>
      </x:c>
      <x:c r="I13" s="11" t="str">
        <x:v>Amon-Ra St. Brown</x:v>
      </x:c>
      <x:c r="J13" s="11" t="str">
        <x:v>WR</x:v>
      </x:c>
      <x:c r="K13" s="13" t="n">
        <x:v>4</x:v>
      </x:c>
      <x:c r="L13" s="13" t="str">
        <x:v>DET</x:v>
      </x:c>
      <x:c r="M13" s="13" t="n">
        <x:v>6</x:v>
      </x:c>
      <x:c r="N13" s="12" t="n">
        <x:v>296.5</x:v>
      </x:c>
      <x:c r="O13" s="12" t="n">
        <x:v>281</x:v>
      </x:c>
      <x:c r="P13" s="12" t="n">
        <x:f>N13-O13</x:f>
        <x:v>15.5</x:v>
      </x:c>
      <x:c r="Q13" s="12" t="n">
        <x:v>291.1</x:v>
      </x:c>
      <x:c r="R13" s="12" t="n">
        <x:v>16</x:v>
      </x:c>
      <x:c r="S13" s="12" t="n">
        <x:v>102.9</x:v>
      </x:c>
      <x:c r="T13" s="11" t="str">
        <x:v>High</x:v>
      </x:c>
      <x:c r="U13" s="13" t="n">
        <x:v>10</x:v>
      </x:c>
      <x:c r="V13" s="13" t="n">
        <x:v>7</x:v>
      </x:c>
      <x:c r="W13" s="11"/>
      <x:c r="X13" s="11" t="str">
        <x:v>Veteran model: 2025 form, prior-year trend and same team pass/run forecast; team pass volume #10, rush volume #7</x:v>
      </x:c>
    </x:row>
    <x:row r="14" ht="19" customHeight="1">
      <x:c r="A14" s="11" t="str">
        <x:v>Available</x:v>
      </x:c>
      <x:c r="B14" s="12" t="n">
        <x:v>9.5</x:v>
      </x:c>
      <x:c r="C14" s="12" t="n">
        <x:f>ROUNDUP(B14/12,0)</x:f>
        <x:v>1</x:v>
      </x:c>
      <x:c r="D14" s="13" t="n">
        <x:v>18</x:v>
      </x:c>
      <x:c r="E14" s="12" t="n">
        <x:f>B14-D14</x:f>
        <x:v>-8.5</x:v>
      </x:c>
      <x:c r="F14" s="13" t="n">
        <x:v>20</x:v>
      </x:c>
      <x:c r="G14" s="12" t="n">
        <x:f>B14-F14</x:f>
        <x:v>-10.5</x:v>
      </x:c>
      <x:c r="H14" s="11" t="str">
        <x:v>Slight reach</x:v>
      </x:c>
      <x:c r="I14" s="11" t="str">
        <x:v>CeeDee Lamb</x:v>
      </x:c>
      <x:c r="J14" s="11" t="str">
        <x:v>WR</x:v>
      </x:c>
      <x:c r="K14" s="13" t="n">
        <x:v>7</x:v>
      </x:c>
      <x:c r="L14" s="13" t="str">
        <x:v>DAL</x:v>
      </x:c>
      <x:c r="M14" s="13" t="n">
        <x:v>14</x:v>
      </x:c>
      <x:c r="N14" s="12" t="n">
        <x:v>247.2</x:v>
      </x:c>
      <x:c r="O14" s="12" t="n">
        <x:v>271</x:v>
      </x:c>
      <x:c r="P14" s="12" t="n">
        <x:f>N14-O14</x:f>
        <x:v>-23.80000000000001</x:v>
      </x:c>
      <x:c r="Q14" s="12" t="n">
        <x:v>255.6</x:v>
      </x:c>
      <x:c r="R14" s="12" t="n">
        <x:v>12.5</x:v>
      </x:c>
      <x:c r="S14" s="12" t="n">
        <x:v>54.3</x:v>
      </x:c>
      <x:c r="T14" s="11" t="str">
        <x:v>High</x:v>
      </x:c>
      <x:c r="U14" s="13" t="n">
        <x:v>2</x:v>
      </x:c>
      <x:c r="V14" s="13" t="n">
        <x:v>20</x:v>
      </x:c>
      <x:c r="W14" s="11"/>
      <x:c r="X14" s="11" t="str">
        <x:v>Veteran model: 2025 form, prior-year trend and same team pass/run forecast; team pass volume #2, rush volume #20</x:v>
      </x:c>
    </x:row>
    <x:row r="15" ht="19" customHeight="1">
      <x:c r="A15" s="11" t="str">
        <x:v>Available</x:v>
      </x:c>
      <x:c r="B15" s="12" t="n">
        <x:v>10.5</x:v>
      </x:c>
      <x:c r="C15" s="12" t="n">
        <x:f>ROUNDUP(B15/12,0)</x:f>
        <x:v>1</x:v>
      </x:c>
      <x:c r="D15" s="13" t="n">
        <x:v>12</x:v>
      </x:c>
      <x:c r="E15" s="12" t="n">
        <x:f>B15-D15</x:f>
        <x:v>-1.5</x:v>
      </x:c>
      <x:c r="F15" s="13" t="n">
        <x:v>15</x:v>
      </x:c>
      <x:c r="G15" s="12" t="n">
        <x:f>B15-F15</x:f>
        <x:v>-4.5</x:v>
      </x:c>
      <x:c r="H15" s="11" t="str">
        <x:v>Fair</x:v>
      </x:c>
      <x:c r="I15" s="11" t="str">
        <x:v>James Cook</x:v>
      </x:c>
      <x:c r="J15" s="11" t="str">
        <x:v>RB</x:v>
      </x:c>
      <x:c r="K15" s="13" t="n">
        <x:v>7</x:v>
      </x:c>
      <x:c r="L15" s="13" t="str">
        <x:v>BUF</x:v>
      </x:c>
      <x:c r="M15" s="13" t="n">
        <x:v>7</x:v>
      </x:c>
      <x:c r="N15" s="12" t="n">
        <x:v>244.7</x:v>
      </x:c>
      <x:c r="O15" s="12" t="n">
        <x:v>261</x:v>
      </x:c>
      <x:c r="P15" s="12" t="n">
        <x:f>N15-O15</x:f>
        <x:v>-16.30000000000001</x:v>
      </x:c>
      <x:c r="Q15" s="12" t="n">
        <x:v>250.4</x:v>
      </x:c>
      <x:c r="R15" s="12" t="n">
        <x:v>14.9</x:v>
      </x:c>
      <x:c r="S15" s="12" t="n">
        <x:v>63.8</x:v>
      </x:c>
      <x:c r="T15" s="11" t="str">
        <x:v>High</x:v>
      </x:c>
      <x:c r="U15" s="13" t="n">
        <x:v>28</x:v>
      </x:c>
      <x:c r="V15" s="13" t="n">
        <x:v>3</x:v>
      </x:c>
      <x:c r="W15" s="11"/>
      <x:c r="X15" s="11" t="str">
        <x:v>Veteran model: 2025 form, prior-year trend and same team pass/run forecast; team pass volume #28, rush volume #3</x:v>
      </x:c>
    </x:row>
    <x:row r="16" ht="19" customHeight="1">
      <x:c r="A16" s="11" t="str">
        <x:v>Available</x:v>
      </x:c>
      <x:c r="B16" s="12" t="n">
        <x:v>11.2</x:v>
      </x:c>
      <x:c r="C16" s="12" t="n">
        <x:f>ROUNDUP(B16/12,0)</x:f>
        <x:v>1</x:v>
      </x:c>
      <x:c r="D16" s="13" t="n">
        <x:v>23</x:v>
      </x:c>
      <x:c r="E16" s="12" t="n">
        <x:f>B16-D16</x:f>
        <x:v>-11.8</x:v>
      </x:c>
      <x:c r="F16" s="13" t="n">
        <x:v>22</x:v>
      </x:c>
      <x:c r="G16" s="12" t="n">
        <x:f>B16-F16</x:f>
        <x:v>-10.8</x:v>
      </x:c>
      <x:c r="H16" s="11" t="str">
        <x:v>Slight reach</x:v>
      </x:c>
      <x:c r="I16" s="11" t="str">
        <x:v>Justin Jefferson</x:v>
      </x:c>
      <x:c r="J16" s="11" t="str">
        <x:v>WR</x:v>
      </x:c>
      <x:c r="K16" s="13" t="n">
        <x:v>9</x:v>
      </x:c>
      <x:c r="L16" s="13" t="str">
        <x:v>MIN</x:v>
      </x:c>
      <x:c r="M16" s="13" t="n">
        <x:v>6</x:v>
      </x:c>
      <x:c r="N16" s="12" t="n">
        <x:v>238.1</x:v>
      </x:c>
      <x:c r="O16" s="12" t="n">
        <x:v>250</x:v>
      </x:c>
      <x:c r="P16" s="12" t="n">
        <x:f>N16-O16</x:f>
        <x:v>-11.900000000000006</x:v>
      </x:c>
      <x:c r="Q16" s="12" t="n">
        <x:v>242.3</x:v>
      </x:c>
      <x:c r="R16" s="12" t="n">
        <x:v>13.1</x:v>
      </x:c>
      <x:c r="S16" s="12" t="n">
        <x:v>46.6</x:v>
      </x:c>
      <x:c r="T16" s="11" t="str">
        <x:v>High</x:v>
      </x:c>
      <x:c r="U16" s="13" t="n">
        <x:v>26</x:v>
      </x:c>
      <x:c r="V16" s="13" t="n">
        <x:v>27</x:v>
      </x:c>
      <x:c r="W16" s="11"/>
      <x:c r="X16" s="11" t="str">
        <x:v>Veteran model: 2025 form, prior-year trend and same team pass/run forecast; team pass volume #26, rush volume #27</x:v>
      </x:c>
    </x:row>
    <x:row r="17" ht="19" customHeight="1">
      <x:c r="A17" s="11" t="str">
        <x:v>Available</x:v>
      </x:c>
      <x:c r="B17" s="12" t="n">
        <x:v>12</x:v>
      </x:c>
      <x:c r="C17" s="12" t="n">
        <x:f>ROUNDUP(B17/12,0)</x:f>
        <x:v>1</x:v>
      </x:c>
      <x:c r="D17" s="13" t="n">
        <x:v>8</x:v>
      </x:c>
      <x:c r="E17" s="12" t="n">
        <x:f>B17-D17</x:f>
        <x:v>4</x:v>
      </x:c>
      <x:c r="F17" s="13" t="n">
        <x:v>9</x:v>
      </x:c>
      <x:c r="G17" s="12" t="n">
        <x:f>B17-F17</x:f>
        <x:v>3</x:v>
      </x:c>
      <x:c r="H17" s="11" t="str">
        <x:v>Fair</x:v>
      </x:c>
      <x:c r="I17" s="11" t="str">
        <x:v>De'Von Achane</x:v>
      </x:c>
      <x:c r="J17" s="11" t="str">
        <x:v>RB</x:v>
      </x:c>
      <x:c r="K17" s="13" t="n">
        <x:v>5</x:v>
      </x:c>
      <x:c r="L17" s="13" t="str">
        <x:v>MIA</x:v>
      </x:c>
      <x:c r="M17" s="13" t="n">
        <x:v>6</x:v>
      </x:c>
      <x:c r="N17" s="12" t="n">
        <x:v>281.8</x:v>
      </x:c>
      <x:c r="O17" s="12" t="n">
        <x:v>257</x:v>
      </x:c>
      <x:c r="P17" s="12" t="n">
        <x:f>N17-O17</x:f>
        <x:v>24.80000000000001</x:v>
      </x:c>
      <x:c r="Q17" s="12" t="n">
        <x:v>273.1</x:v>
      </x:c>
      <x:c r="R17" s="12" t="n">
        <x:v>15.7</x:v>
      </x:c>
      <x:c r="S17" s="12" t="n">
        <x:v>88.2</x:v>
      </x:c>
      <x:c r="T17" s="11" t="str">
        <x:v>High</x:v>
      </x:c>
      <x:c r="U17" s="13" t="n">
        <x:v>25</x:v>
      </x:c>
      <x:c r="V17" s="13" t="n">
        <x:v>24</x:v>
      </x:c>
      <x:c r="W17" s="11"/>
      <x:c r="X17" s="11" t="str">
        <x:v>Veteran model: 2025 form, prior-year trend and same team pass/run forecast; team pass volume #25, rush volume #24</x:v>
      </x:c>
    </x:row>
    <x:row r="18" ht="19" customHeight="1">
      <x:c r="A18" s="11" t="str">
        <x:v>Available</x:v>
      </x:c>
      <x:c r="B18" s="12" t="n">
        <x:v>13.7</x:v>
      </x:c>
      <x:c r="C18" s="12" t="n">
        <x:f>ROUNDUP(B18/12,0)</x:f>
        <x:v>2</x:v>
      </x:c>
      <x:c r="D18" s="13" t="n">
        <x:v>17</x:v>
      </x:c>
      <x:c r="E18" s="12" t="n">
        <x:f>B18-D18</x:f>
        <x:v>-3.3000000000000007</x:v>
      </x:c>
      <x:c r="F18" s="13" t="n">
        <x:v>19</x:v>
      </x:c>
      <x:c r="G18" s="12" t="n">
        <x:f>B18-F18</x:f>
        <x:v>-5.300000000000001</x:v>
      </x:c>
      <x:c r="H18" s="11" t="str">
        <x:v>Fair</x:v>
      </x:c>
      <x:c r="I18" s="11" t="str">
        <x:v>Saquon Barkley</x:v>
      </x:c>
      <x:c r="J18" s="11" t="str">
        <x:v>RB</x:v>
      </x:c>
      <x:c r="K18" s="13" t="n">
        <x:v>8</x:v>
      </x:c>
      <x:c r="L18" s="13" t="str">
        <x:v>PHI</x:v>
      </x:c>
      <x:c r="M18" s="13" t="n">
        <x:v>10</x:v>
      </x:c>
      <x:c r="N18" s="12" t="n">
        <x:v>249.8</x:v>
      </x:c>
      <x:c r="O18" s="12" t="n">
        <x:v>247</x:v>
      </x:c>
      <x:c r="P18" s="12" t="n">
        <x:f>N18-O18</x:f>
        <x:v>2.8000000000000114</x:v>
      </x:c>
      <x:c r="Q18" s="12" t="n">
        <x:v>248.8</x:v>
      </x:c>
      <x:c r="R18" s="12" t="n">
        <x:v>13</x:v>
      </x:c>
      <x:c r="S18" s="12" t="n">
        <x:v>54.4</x:v>
      </x:c>
      <x:c r="T18" s="11" t="str">
        <x:v>High</x:v>
      </x:c>
      <x:c r="U18" s="13" t="n">
        <x:v>31</x:v>
      </x:c>
      <x:c r="V18" s="13" t="n">
        <x:v>2</x:v>
      </x:c>
      <x:c r="W18" s="11"/>
      <x:c r="X18" s="11" t="str">
        <x:v>Veteran model: 2025 form, prior-year trend and same team pass/run forecast; team pass volume #31, rush volume #2</x:v>
      </x:c>
    </x:row>
    <x:row r="19" ht="19" customHeight="1">
      <x:c r="A19" s="11" t="str">
        <x:v>Available</x:v>
      </x:c>
      <x:c r="B19" s="12" t="n">
        <x:v>13.8</x:v>
      </x:c>
      <x:c r="C19" s="12" t="n">
        <x:f>ROUNDUP(B19/12,0)</x:f>
        <x:v>2</x:v>
      </x:c>
      <x:c r="D19" s="13" t="n">
        <x:v>15</x:v>
      </x:c>
      <x:c r="E19" s="12" t="n">
        <x:f>B19-D19</x:f>
        <x:v>-1.1999999999999993</x:v>
      </x:c>
      <x:c r="F19" s="13" t="n">
        <x:v>17</x:v>
      </x:c>
      <x:c r="G19" s="12" t="n">
        <x:f>B19-F19</x:f>
        <x:v>-3.1999999999999993</x:v>
      </x:c>
      <x:c r="H19" s="11" t="str">
        <x:v>Fair</x:v>
      </x:c>
      <x:c r="I19" s="11" t="str">
        <x:v>Ashton Jeanty</x:v>
      </x:c>
      <x:c r="J19" s="11" t="str">
        <x:v>RB</x:v>
      </x:c>
      <x:c r="K19" s="13" t="n">
        <x:v>6</x:v>
      </x:c>
      <x:c r="L19" s="13" t="str">
        <x:v>LV</x:v>
      </x:c>
      <x:c r="M19" s="13" t="n">
        <x:v>13</x:v>
      </x:c>
      <x:c r="N19" s="12" t="n">
        <x:v>247.8</x:v>
      </x:c>
      <x:c r="O19" s="12" t="n">
        <x:v>260</x:v>
      </x:c>
      <x:c r="P19" s="12" t="n">
        <x:f>N19-O19</x:f>
        <x:v>-12.199999999999989</x:v>
      </x:c>
      <x:c r="Q19" s="12" t="n">
        <x:v>253.9</x:v>
      </x:c>
      <x:c r="R19" s="12" t="n">
        <x:v>13.7</x:v>
      </x:c>
      <x:c r="S19" s="12" t="n">
        <x:v>61.5</x:v>
      </x:c>
      <x:c r="T19" s="11" t="str">
        <x:v>Medium</x:v>
      </x:c>
      <x:c r="U19" s="13" t="n">
        <x:v>15</x:v>
      </x:c>
      <x:c r="V19" s="13" t="n">
        <x:v>32</x:v>
      </x:c>
      <x:c r="W19" s="11"/>
      <x:c r="X19" s="11" t="str">
        <x:v>Veteran model: 2025 form, prior-year trend and same team pass/run forecast; team pass volume #15, rush volume #32</x:v>
      </x:c>
    </x:row>
    <x:row r="20" ht="19" customHeight="1">
      <x:c r="A20" s="11" t="str">
        <x:v>Available</x:v>
      </x:c>
      <x:c r="B20" s="12" t="n">
        <x:v>15.5</x:v>
      </x:c>
      <x:c r="C20" s="12" t="n">
        <x:f>ROUNDUP(B20/12,0)</x:f>
        <x:v>2</x:v>
      </x:c>
      <x:c r="D20" s="13" t="n">
        <x:v>27</x:v>
      </x:c>
      <x:c r="E20" s="12" t="n">
        <x:f>B20-D20</x:f>
        <x:v>-11.5</x:v>
      </x:c>
      <x:c r="F20" s="13" t="n">
        <x:v>36</x:v>
      </x:c>
      <x:c r="G20" s="12" t="n">
        <x:f>B20-F20</x:f>
        <x:v>-20.5</x:v>
      </x:c>
      <x:c r="H20" s="11" t="str">
        <x:v>Slight reach</x:v>
      </x:c>
      <x:c r="I20" s="11" t="str">
        <x:v>Omarion Hampton</x:v>
      </x:c>
      <x:c r="J20" s="11" t="str">
        <x:v>RB</x:v>
      </x:c>
      <x:c r="K20" s="13" t="n">
        <x:v>10</x:v>
      </x:c>
      <x:c r="L20" s="13" t="str">
        <x:v>LAC</x:v>
      </x:c>
      <x:c r="M20" s="13" t="n">
        <x:v>7</x:v>
      </x:c>
      <x:c r="N20" s="12" t="n">
        <x:v>225.5</x:v>
      </x:c>
      <x:c r="O20" s="12" t="n">
        <x:v>243</x:v>
      </x:c>
      <x:c r="P20" s="12" t="n">
        <x:f>N20-O20</x:f>
        <x:v>-17.5</x:v>
      </x:c>
      <x:c r="Q20" s="12" t="n">
        <x:v>234.3</x:v>
      </x:c>
      <x:c r="R20" s="12" t="n">
        <x:v>11.9</x:v>
      </x:c>
      <x:c r="S20" s="12" t="n">
        <x:v>39.7</x:v>
      </x:c>
      <x:c r="T20" s="11" t="str">
        <x:v>Medium</x:v>
      </x:c>
      <x:c r="U20" s="13" t="n">
        <x:v>14</x:v>
      </x:c>
      <x:c r="V20" s="13" t="n">
        <x:v>16</x:v>
      </x:c>
      <x:c r="W20" s="11"/>
      <x:c r="X20" s="11" t="str">
        <x:v>Veteran model: 2025 form, prior-year trend and same team pass/run forecast; team pass volume #14, rush volume #16</x:v>
      </x:c>
    </x:row>
    <x:row r="21" ht="19" customHeight="1">
      <x:c r="A21" s="11" t="str">
        <x:v>Available</x:v>
      </x:c>
      <x:c r="B21" s="12" t="n">
        <x:v>16.1</x:v>
      </x:c>
      <x:c r="C21" s="12" t="n">
        <x:f>ROUNDUP(B21/12,0)</x:f>
        <x:v>2</x:v>
      </x:c>
      <x:c r="D21" s="13" t="n">
        <x:v>14</x:v>
      </x:c>
      <x:c r="E21" s="12" t="n">
        <x:f>B21-D21</x:f>
        <x:v>2.1000000000000014</x:v>
      </x:c>
      <x:c r="F21" s="13" t="n">
        <x:v>13</x:v>
      </x:c>
      <x:c r="G21" s="12" t="n">
        <x:f>B21-F21</x:f>
        <x:v>3.1000000000000014</x:v>
      </x:c>
      <x:c r="H21" s="11" t="str">
        <x:v>Fair</x:v>
      </x:c>
      <x:c r="I21" s="11" t="str">
        <x:v>Drake London</x:v>
      </x:c>
      <x:c r="J21" s="11" t="str">
        <x:v>WR</x:v>
      </x:c>
      <x:c r="K21" s="13" t="n">
        <x:v>5</x:v>
      </x:c>
      <x:c r="L21" s="13" t="str">
        <x:v>ATL</x:v>
      </x:c>
      <x:c r="M21" s="13" t="n">
        <x:v>11</x:v>
      </x:c>
      <x:c r="N21" s="12" t="n">
        <x:v>266</x:v>
      </x:c>
      <x:c r="O21" s="12" t="n">
        <x:v>250</x:v>
      </x:c>
      <x:c r="P21" s="12" t="n">
        <x:f>N21-O21</x:f>
        <x:v>16</x:v>
      </x:c>
      <x:c r="Q21" s="12" t="n">
        <x:v>260.4</x:v>
      </x:c>
      <x:c r="R21" s="12" t="n">
        <x:v>13.5</x:v>
      </x:c>
      <x:c r="S21" s="12" t="n">
        <x:v>62.4</x:v>
      </x:c>
      <x:c r="T21" s="11" t="str">
        <x:v>High</x:v>
      </x:c>
      <x:c r="U21" s="13" t="n">
        <x:v>17</x:v>
      </x:c>
      <x:c r="V21" s="13" t="n">
        <x:v>5</x:v>
      </x:c>
      <x:c r="W21" s="11"/>
      <x:c r="X21" s="11" t="str">
        <x:v>Veteran model: 2025 form, prior-year trend and same team pass/run forecast; team pass volume #17, rush volume #5</x:v>
      </x:c>
    </x:row>
    <x:row r="22" ht="19" customHeight="1">
      <x:c r="A22" s="11" t="str">
        <x:v>Available</x:v>
      </x:c>
      <x:c r="B22" s="12" t="n">
        <x:v>17.5</x:v>
      </x:c>
      <x:c r="C22" s="12" t="n">
        <x:f>ROUNDUP(B22/12,0)</x:f>
        <x:v>2</x:v>
      </x:c>
      <x:c r="D22" s="13" t="n">
        <x:v>20</x:v>
      </x:c>
      <x:c r="E22" s="12" t="n">
        <x:f>B22-D22</x:f>
        <x:v>-2.5</x:v>
      </x:c>
      <x:c r="F22" s="13" t="n">
        <x:v>24</x:v>
      </x:c>
      <x:c r="G22" s="12" t="n">
        <x:f>B22-F22</x:f>
        <x:v>-6.5</x:v>
      </x:c>
      <x:c r="H22" s="11" t="str">
        <x:v>Fair</x:v>
      </x:c>
      <x:c r="I22" s="11" t="str">
        <x:v>Chase Brown</x:v>
      </x:c>
      <x:c r="J22" s="11" t="str">
        <x:v>RB</x:v>
      </x:c>
      <x:c r="K22" s="13" t="n">
        <x:v>9</x:v>
      </x:c>
      <x:c r="L22" s="13" t="str">
        <x:v>CIN</x:v>
      </x:c>
      <x:c r="M22" s="13" t="n">
        <x:v>6</x:v>
      </x:c>
      <x:c r="N22" s="12" t="n">
        <x:v>231.2</x:v>
      </x:c>
      <x:c r="O22" s="12" t="n">
        <x:v>255</x:v>
      </x:c>
      <x:c r="P22" s="12" t="n">
        <x:f>N22-O22</x:f>
        <x:v>-23.80000000000001</x:v>
      </x:c>
      <x:c r="Q22" s="12" t="n">
        <x:v>239.5</x:v>
      </x:c>
      <x:c r="R22" s="12" t="n">
        <x:v>14</x:v>
      </x:c>
      <x:c r="S22" s="12" t="n">
        <x:v>51</x:v>
      </x:c>
      <x:c r="T22" s="11" t="str">
        <x:v>High</x:v>
      </x:c>
      <x:c r="U22" s="13" t="n">
        <x:v>1</x:v>
      </x:c>
      <x:c r="V22" s="13" t="n">
        <x:v>31</x:v>
      </x:c>
      <x:c r="W22" s="11"/>
      <x:c r="X22" s="11" t="str">
        <x:v>Veteran model: 2025 form, prior-year trend and same team pass/run forecast; team pass volume #1, rush volume #31</x:v>
      </x:c>
    </x:row>
    <x:row r="23" ht="19" customHeight="1">
      <x:c r="A23" s="11" t="str">
        <x:v>Available</x:v>
      </x:c>
      <x:c r="B23" s="12" t="n">
        <x:v>18.3</x:v>
      </x:c>
      <x:c r="C23" s="12" t="n">
        <x:f>ROUNDUP(B23/12,0)</x:f>
        <x:v>2</x:v>
      </x:c>
      <x:c r="D23" s="13" t="n">
        <x:v>25</x:v>
      </x:c>
      <x:c r="E23" s="12" t="n">
        <x:f>B23-D23</x:f>
        <x:v>-6.699999999999999</x:v>
      </x:c>
      <x:c r="F23" s="13" t="n">
        <x:v>27</x:v>
      </x:c>
      <x:c r="G23" s="12" t="n">
        <x:f>B23-F23</x:f>
        <x:v>-8.7</x:v>
      </x:c>
      <x:c r="H23" s="11" t="str">
        <x:v>Fair</x:v>
      </x:c>
      <x:c r="I23" s="11" t="str">
        <x:v>A.J. Brown</x:v>
      </x:c>
      <x:c r="J23" s="11" t="str">
        <x:v>WR</x:v>
      </x:c>
      <x:c r="K23" s="13" t="n">
        <x:v>12</x:v>
      </x:c>
      <x:c r="L23" s="13" t="str">
        <x:v>NE</x:v>
      </x:c>
      <x:c r="M23" s="13" t="n">
        <x:v>11</x:v>
      </x:c>
      <x:c r="N23" s="12" t="n">
        <x:v>225</x:v>
      </x:c>
      <x:c r="O23" s="12" t="n">
        <x:v>247</x:v>
      </x:c>
      <x:c r="P23" s="12" t="n">
        <x:f>N23-O23</x:f>
        <x:v>-22</x:v>
      </x:c>
      <x:c r="Q23" s="12" t="n">
        <x:v>232.7</x:v>
      </x:c>
      <x:c r="R23" s="12" t="n">
        <x:v>14</x:v>
      </x:c>
      <x:c r="S23" s="12" t="n">
        <x:v>41.9</x:v>
      </x:c>
      <x:c r="T23" s="11" t="str">
        <x:v>High</x:v>
      </x:c>
      <x:c r="U23" s="13" t="n">
        <x:v>27</x:v>
      </x:c>
      <x:c r="V23" s="13" t="n">
        <x:v>12</x:v>
      </x:c>
      <x:c r="W23" s="11"/>
      <x:c r="X23" s="11" t="str">
        <x:v>Veteran model: 2025 form, prior-year trend and new team pass/run forecast; team pass volume #27, rush volume #12</x:v>
      </x:c>
    </x:row>
    <x:row r="24" ht="19" customHeight="1">
      <x:c r="A24" s="11" t="str">
        <x:v>Available</x:v>
      </x:c>
      <x:c r="B24" s="12" t="n">
        <x:v>19.9</x:v>
      </x:c>
      <x:c r="C24" s="12" t="n">
        <x:f>ROUNDUP(B24/12,0)</x:f>
        <x:v>2</x:v>
      </x:c>
      <x:c r="D24" s="13" t="n">
        <x:v>45</x:v>
      </x:c>
      <x:c r="E24" s="12" t="n">
        <x:f>B24-D24</x:f>
        <x:v>-25.1</x:v>
      </x:c>
      <x:c r="F24" s="13" t="n">
        <x:v>66</x:v>
      </x:c>
      <x:c r="G24" s="12" t="n">
        <x:f>B24-F24</x:f>
        <x:v>-46.1</x:v>
      </x:c>
      <x:c r="H24" s="11" t="str">
        <x:v>Pricey</x:v>
      </x:c>
      <x:c r="I24" s="11" t="str">
        <x:v>Kenneth Walker</x:v>
      </x:c>
      <x:c r="J24" s="11" t="str">
        <x:v>RB</x:v>
      </x:c>
      <x:c r="K24" s="13" t="n">
        <x:v>19</x:v>
      </x:c>
      <x:c r="L24" s="13" t="str">
        <x:v>KC</x:v>
      </x:c>
      <x:c r="M24" s="13" t="n">
        <x:v>5</x:v>
      </x:c>
      <x:c r="N24" s="12" t="n">
        <x:v>191.6</x:v>
      </x:c>
      <x:c r="O24" s="12" t="n">
        <x:v>244</x:v>
      </x:c>
      <x:c r="P24" s="12" t="n">
        <x:f>N24-O24</x:f>
        <x:v>-52.400000000000006</x:v>
      </x:c>
      <x:c r="Q24" s="12" t="n">
        <x:v>209.9</x:v>
      </x:c>
      <x:c r="R24" s="12" t="n">
        <x:v>13.6</x:v>
      </x:c>
      <x:c r="S24" s="12" t="n">
        <x:v>25.8</x:v>
      </x:c>
      <x:c r="T24" s="11" t="str">
        <x:v>High</x:v>
      </x:c>
      <x:c r="U24" s="13" t="n">
        <x:v>5</x:v>
      </x:c>
      <x:c r="V24" s="13" t="n">
        <x:v>25</x:v>
      </x:c>
      <x:c r="W24" s="11"/>
      <x:c r="X24" s="11" t="str">
        <x:v>Veteran model: 2025 form, prior-year trend and new team pass/run forecast; team pass volume #5, rush volume #25</x:v>
      </x:c>
    </x:row>
    <x:row r="25" ht="19" customHeight="1">
      <x:c r="A25" s="11" t="str">
        <x:v>Available</x:v>
      </x:c>
      <x:c r="B25" s="12" t="n">
        <x:v>20.1</x:v>
      </x:c>
      <x:c r="C25" s="12" t="n">
        <x:f>ROUNDUP(B25/12,0)</x:f>
        <x:v>2</x:v>
      </x:c>
      <x:c r="D25" s="13" t="n">
        <x:v>10</x:v>
      </x:c>
      <x:c r="E25" s="12" t="n">
        <x:f>B25-D25</x:f>
        <x:v>10.100000000000001</x:v>
      </x:c>
      <x:c r="F25" s="13" t="n">
        <x:v>11</x:v>
      </x:c>
      <x:c r="G25" s="12" t="n">
        <x:f>B25-F25</x:f>
        <x:v>9.100000000000001</x:v>
      </x:c>
      <x:c r="H25" s="11" t="str">
        <x:v>Value</x:v>
      </x:c>
      <x:c r="I25" s="11" t="str">
        <x:v>Trey McBride</x:v>
      </x:c>
      <x:c r="J25" s="11" t="str">
        <x:v>TE</x:v>
      </x:c>
      <x:c r="K25" s="13" t="n">
        <x:v>1</x:v>
      </x:c>
      <x:c r="L25" s="13" t="str">
        <x:v>ARI</x:v>
      </x:c>
      <x:c r="M25" s="13" t="n">
        <x:v>14</x:v>
      </x:c>
      <x:c r="N25" s="12" t="n">
        <x:v>238.6</x:v>
      </x:c>
      <x:c r="O25" s="12" t="n">
        <x:v>235</x:v>
      </x:c>
      <x:c r="P25" s="12" t="n">
        <x:f>N25-O25</x:f>
        <x:v>3.5999999999999943</x:v>
      </x:c>
      <x:c r="Q25" s="12" t="n">
        <x:v>237.3</x:v>
      </x:c>
      <x:c r="R25" s="12" t="n">
        <x:v>16.2</x:v>
      </x:c>
      <x:c r="S25" s="12" t="n">
        <x:v>80.1</x:v>
      </x:c>
      <x:c r="T25" s="11" t="str">
        <x:v>High</x:v>
      </x:c>
      <x:c r="U25" s="13" t="n">
        <x:v>3</x:v>
      </x:c>
      <x:c r="V25" s="13" t="n">
        <x:v>29</x:v>
      </x:c>
      <x:c r="W25" s="11"/>
      <x:c r="X25" s="11" t="str">
        <x:v>Veteran model: 2025 form, prior-year trend and same team pass/run forecast; team pass volume #3, rush volume #29</x:v>
      </x:c>
    </x:row>
    <x:row r="26" ht="19" customHeight="1">
      <x:c r="A26" s="11" t="str">
        <x:v>Available</x:v>
      </x:c>
      <x:c r="B26" s="12" t="n">
        <x:v>20.3</x:v>
      </x:c>
      <x:c r="C26" s="12" t="n">
        <x:f>ROUNDUP(B26/12,0)</x:f>
        <x:v>2</x:v>
      </x:c>
      <x:c r="D26" s="13" t="n">
        <x:v>30</x:v>
      </x:c>
      <x:c r="E26" s="12" t="n">
        <x:f>B26-D26</x:f>
        <x:v>-9.7</x:v>
      </x:c>
      <x:c r="F26" s="13" t="n">
        <x:v>45</x:v>
      </x:c>
      <x:c r="G26" s="12" t="n">
        <x:f>B26-F26</x:f>
        <x:v>-24.7</x:v>
      </x:c>
      <x:c r="H26" s="11" t="str">
        <x:v>Slight reach</x:v>
      </x:c>
      <x:c r="I26" s="11" t="str">
        <x:v>Derrick Henry</x:v>
      </x:c>
      <x:c r="J26" s="11" t="str">
        <x:v>RB</x:v>
      </x:c>
      <x:c r="K26" s="13" t="n">
        <x:v>13</x:v>
      </x:c>
      <x:c r="L26" s="13" t="str">
        <x:v>BAL</x:v>
      </x:c>
      <x:c r="M26" s="13" t="n">
        <x:v>13</x:v>
      </x:c>
      <x:c r="N26" s="12" t="n">
        <x:v>210.5</x:v>
      </x:c>
      <x:c r="O26" s="12" t="n">
        <x:v>247</x:v>
      </x:c>
      <x:c r="P26" s="12" t="n">
        <x:f>N26-O26</x:f>
        <x:v>-36.5</x:v>
      </x:c>
      <x:c r="Q26" s="12" t="n">
        <x:v>223.3</x:v>
      </x:c>
      <x:c r="R26" s="12" t="n">
        <x:v>12.8</x:v>
      </x:c>
      <x:c r="S26" s="12" t="n">
        <x:v>34.4</x:v>
      </x:c>
      <x:c r="T26" s="11" t="str">
        <x:v>High</x:v>
      </x:c>
      <x:c r="U26" s="13" t="n">
        <x:v>32</x:v>
      </x:c>
      <x:c r="V26" s="13" t="n">
        <x:v>1</x:v>
      </x:c>
      <x:c r="W26" s="11"/>
      <x:c r="X26" s="11" t="str">
        <x:v>Veteran model: 2025 form, prior-year trend and same team pass/run forecast; team pass volume #32, rush volume #1</x:v>
      </x:c>
    </x:row>
    <x:row r="27" ht="19" customHeight="1">
      <x:c r="A27" s="11" t="str">
        <x:v>Available</x:v>
      </x:c>
      <x:c r="B27" s="12" t="n">
        <x:v>22.1</x:v>
      </x:c>
      <x:c r="C27" s="12" t="n">
        <x:f>ROUNDUP(B27/12,0)</x:f>
        <x:v>2</x:v>
      </x:c>
      <x:c r="D27" s="13" t="n">
        <x:v>11</x:v>
      </x:c>
      <x:c r="E27" s="12" t="n">
        <x:f>B27-D27</x:f>
        <x:v>11.100000000000001</x:v>
      </x:c>
      <x:c r="F27" s="13" t="n">
        <x:v>16</x:v>
      </x:c>
      <x:c r="G27" s="12" t="n">
        <x:f>B27-F27</x:f>
        <x:v>6.100000000000001</x:v>
      </x:c>
      <x:c r="H27" s="11" t="str">
        <x:v>Value</x:v>
      </x:c>
      <x:c r="I27" s="11" t="str">
        <x:v>Brock Bowers</x:v>
      </x:c>
      <x:c r="J27" s="11" t="str">
        <x:v>TE</x:v>
      </x:c>
      <x:c r="K27" s="13" t="n">
        <x:v>2</x:v>
      </x:c>
      <x:c r="L27" s="13" t="str">
        <x:v>LV</x:v>
      </x:c>
      <x:c r="M27" s="13" t="n">
        <x:v>13</x:v>
      </x:c>
      <x:c r="N27" s="12" t="n">
        <x:v>216.4</x:v>
      </x:c>
      <x:c r="O27" s="12" t="n">
        <x:v>254</x:v>
      </x:c>
      <x:c r="P27" s="12" t="n">
        <x:f>N27-O27</x:f>
        <x:v>-37.599999999999994</x:v>
      </x:c>
      <x:c r="Q27" s="12" t="n">
        <x:v>229.6</x:v>
      </x:c>
      <x:c r="R27" s="12" t="n">
        <x:v>16.2</x:v>
      </x:c>
      <x:c r="S27" s="12" t="n">
        <x:v>72.8</x:v>
      </x:c>
      <x:c r="T27" s="11" t="str">
        <x:v>High</x:v>
      </x:c>
      <x:c r="U27" s="13" t="n">
        <x:v>15</x:v>
      </x:c>
      <x:c r="V27" s="13" t="n">
        <x:v>32</x:v>
      </x:c>
      <x:c r="W27" s="11"/>
      <x:c r="X27" s="11" t="str">
        <x:v>Veteran model: 2025 form, prior-year trend and same team pass/run forecast; team pass volume #15, rush volume #32</x:v>
      </x:c>
    </x:row>
    <x:row r="28" ht="19" customHeight="1">
      <x:c r="A28" s="11" t="str">
        <x:v>Available</x:v>
      </x:c>
      <x:c r="B28" s="12" t="n">
        <x:v>23.3</x:v>
      </x:c>
      <x:c r="C28" s="12" t="n">
        <x:f>ROUNDUP(B28/12,0)</x:f>
        <x:v>2</x:v>
      </x:c>
      <x:c r="D28" s="13" t="n">
        <x:v>13</x:v>
      </x:c>
      <x:c r="E28" s="12" t="n">
        <x:f>B28-D28</x:f>
        <x:v>10.3</x:v>
      </x:c>
      <x:c r="F28" s="13" t="n">
        <x:v>12</x:v>
      </x:c>
      <x:c r="G28" s="12" t="n">
        <x:f>B28-F28</x:f>
        <x:v>11.3</x:v>
      </x:c>
      <x:c r="H28" s="11" t="str">
        <x:v>Value</x:v>
      </x:c>
      <x:c r="I28" s="11" t="str">
        <x:v>George Pickens</x:v>
      </x:c>
      <x:c r="J28" s="11" t="str">
        <x:v>WR</x:v>
      </x:c>
      <x:c r="K28" s="13" t="n">
        <x:v>6</x:v>
      </x:c>
      <x:c r="L28" s="13" t="str">
        <x:v>DAL</x:v>
      </x:c>
      <x:c r="M28" s="13" t="n">
        <x:v>14</x:v>
      </x:c>
      <x:c r="N28" s="12" t="n">
        <x:v>261.3</x:v>
      </x:c>
      <x:c r="O28" s="12" t="n">
        <x:v>246</x:v>
      </x:c>
      <x:c r="P28" s="12" t="n">
        <x:f>N28-O28</x:f>
        <x:v>15.300000000000011</x:v>
      </x:c>
      <x:c r="Q28" s="12" t="n">
        <x:v>255.9</x:v>
      </x:c>
      <x:c r="R28" s="12" t="n">
        <x:v>14.6</x:v>
      </x:c>
      <x:c r="S28" s="12" t="n">
        <x:v>63.6</x:v>
      </x:c>
      <x:c r="T28" s="11" t="str">
        <x:v>High</x:v>
      </x:c>
      <x:c r="U28" s="13" t="n">
        <x:v>2</x:v>
      </x:c>
      <x:c r="V28" s="13" t="n">
        <x:v>20</x:v>
      </x:c>
      <x:c r="W28" s="11"/>
      <x:c r="X28" s="11" t="str">
        <x:v>Veteran model: 2025 form, prior-year trend and same team pass/run forecast; team pass volume #2, rush volume #20</x:v>
      </x:c>
    </x:row>
    <x:row r="29" ht="19" customHeight="1">
      <x:c r="A29" s="11" t="str">
        <x:v>Available</x:v>
      </x:c>
      <x:c r="B29" s="12" t="n">
        <x:v>24.5</x:v>
      </x:c>
      <x:c r="C29" s="12" t="n">
        <x:f>ROUNDUP(B29/12,0)</x:f>
        <x:v>3</x:v>
      </x:c>
      <x:c r="D29" s="13" t="n">
        <x:v>24</x:v>
      </x:c>
      <x:c r="E29" s="12" t="n">
        <x:f>B29-D29</x:f>
        <x:v>0.5</x:v>
      </x:c>
      <x:c r="F29" s="13" t="n">
        <x:v>26</x:v>
      </x:c>
      <x:c r="G29" s="12" t="n">
        <x:f>B29-F29</x:f>
        <x:v>-1.5</x:v>
      </x:c>
      <x:c r="H29" s="11" t="str">
        <x:v>Fair</x:v>
      </x:c>
      <x:c r="I29" s="11" t="str">
        <x:v>Josh Allen</x:v>
      </x:c>
      <x:c r="J29" s="11" t="str">
        <x:v>QB</x:v>
      </x:c>
      <x:c r="K29" s="13" t="n">
        <x:v>1</x:v>
      </x:c>
      <x:c r="L29" s="13" t="str">
        <x:v>BUF</x:v>
      </x:c>
      <x:c r="M29" s="13" t="n">
        <x:v>7</x:v>
      </x:c>
      <x:c r="N29" s="12" t="n">
        <x:v>325.1</x:v>
      </x:c>
      <x:c r="O29" s="12" t="n">
        <x:v>362</x:v>
      </x:c>
      <x:c r="P29" s="12" t="n">
        <x:f>N29-O29</x:f>
        <x:v>-36.89999999999998</x:v>
      </x:c>
      <x:c r="Q29" s="12" t="n">
        <x:v>338</x:v>
      </x:c>
      <x:c r="R29" s="12" t="n">
        <x:v>14.7</x:v>
      </x:c>
      <x:c r="S29" s="12" t="n">
        <x:v>44.8</x:v>
      </x:c>
      <x:c r="T29" s="11" t="str">
        <x:v>High</x:v>
      </x:c>
      <x:c r="U29" s="13" t="n">
        <x:v>28</x:v>
      </x:c>
      <x:c r="V29" s="13" t="n">
        <x:v>3</x:v>
      </x:c>
      <x:c r="W29" s="11"/>
      <x:c r="X29" s="11" t="str">
        <x:v>Veteran model: 2025 form, prior-year trend and same team pass/run forecast; team pass volume #28, rush volume #3</x:v>
      </x:c>
    </x:row>
    <x:row r="30" ht="19" customHeight="1">
      <x:c r="A30" s="11" t="str">
        <x:v>Available</x:v>
      </x:c>
      <x:c r="B30" s="12" t="n">
        <x:v>25.7</x:v>
      </x:c>
      <x:c r="C30" s="12" t="n">
        <x:f>ROUNDUP(B30/12,0)</x:f>
        <x:v>3</x:v>
      </x:c>
      <x:c r="D30" s="13" t="n">
        <x:v>22</x:v>
      </x:c>
      <x:c r="E30" s="12" t="n">
        <x:f>B30-D30</x:f>
        <x:v>3.6999999999999993</x:v>
      </x:c>
      <x:c r="F30" s="13" t="n">
        <x:v>25</x:v>
      </x:c>
      <x:c r="G30" s="12" t="n">
        <x:f>B30-F30</x:f>
        <x:v>0.6999999999999993</x:v>
      </x:c>
      <x:c r="H30" s="11" t="str">
        <x:v>Fair</x:v>
      </x:c>
      <x:c r="I30" s="11" t="str">
        <x:v>Nico Collins</x:v>
      </x:c>
      <x:c r="J30" s="11" t="str">
        <x:v>WR</x:v>
      </x:c>
      <x:c r="K30" s="13" t="n">
        <x:v>10</x:v>
      </x:c>
      <x:c r="L30" s="13" t="str">
        <x:v>HOU</x:v>
      </x:c>
      <x:c r="M30" s="13" t="n">
        <x:v>8</x:v>
      </x:c>
      <x:c r="N30" s="12" t="n">
        <x:v>229.1</x:v>
      </x:c>
      <x:c r="O30" s="12" t="n">
        <x:v>262</x:v>
      </x:c>
      <x:c r="P30" s="12" t="n">
        <x:f>N30-O30</x:f>
        <x:v>-32.900000000000006</x:v>
      </x:c>
      <x:c r="Q30" s="12" t="n">
        <x:v>240.6</x:v>
      </x:c>
      <x:c r="R30" s="12" t="n">
        <x:v>13.8</x:v>
      </x:c>
      <x:c r="S30" s="12" t="n">
        <x:v>47.7</x:v>
      </x:c>
      <x:c r="T30" s="11" t="str">
        <x:v>High</x:v>
      </x:c>
      <x:c r="U30" s="13" t="n">
        <x:v>9</x:v>
      </x:c>
      <x:c r="V30" s="13" t="n">
        <x:v>17</x:v>
      </x:c>
      <x:c r="W30" s="11"/>
      <x:c r="X30" s="11" t="str">
        <x:v>Veteran model: 2025 form, prior-year trend and same team pass/run forecast; team pass volume #9, rush volume #17</x:v>
      </x:c>
    </x:row>
    <x:row r="31" ht="19" customHeight="1">
      <x:c r="A31" s="11" t="str">
        <x:v>Available</x:v>
      </x:c>
      <x:c r="B31" s="12" t="n">
        <x:v>26.8</x:v>
      </x:c>
      <x:c r="C31" s="12" t="n">
        <x:f>ROUNDUP(B31/12,0)</x:f>
        <x:v>3</x:v>
      </x:c>
      <x:c r="D31" s="13" t="n">
        <x:v>19</x:v>
      </x:c>
      <x:c r="E31" s="12" t="n">
        <x:f>B31-D31</x:f>
        <x:v>7.800000000000001</x:v>
      </x:c>
      <x:c r="F31" s="13" t="n">
        <x:v>8</x:v>
      </x:c>
      <x:c r="G31" s="12" t="n">
        <x:f>B31-F31</x:f>
        <x:v>18.8</x:v>
      </x:c>
      <x:c r="H31" s="11" t="str">
        <x:v>Value</x:v>
      </x:c>
      <x:c r="I31" s="11" t="str">
        <x:v>Jeremiyah Love</x:v>
      </x:c>
      <x:c r="J31" s="11" t="str">
        <x:v>RB</x:v>
      </x:c>
      <x:c r="K31" s="13" t="n">
        <x:v>11</x:v>
      </x:c>
      <x:c r="L31" s="13" t="str">
        <x:v>ARI</x:v>
      </x:c>
      <x:c r="M31" s="13" t="n">
        <x:v>14</x:v>
      </x:c>
      <x:c r="N31" s="12" t="n">
        <x:v>284.8</x:v>
      </x:c>
      <x:c r="O31" s="12" t="n">
        <x:v>212</x:v>
      </x:c>
      <x:c r="P31" s="12" t="n">
        <x:f>N31-O31</x:f>
        <x:v>72.80000000000001</x:v>
      </x:c>
      <x:c r="Q31" s="12" t="n">
        <x:v>230.2</x:v>
      </x:c>
      <x:c r="R31" s="12" t="n">
        <x:v>17</x:v>
      </x:c>
      <x:c r="S31" s="12" t="n">
        <x:v>52.6</x:v>
      </x:c>
      <x:c r="T31" s="11" t="str">
        <x:v>Low</x:v>
      </x:c>
      <x:c r="U31" s="13" t="n">
        <x:v>3</x:v>
      </x:c>
      <x:c r="V31" s="13" t="n">
        <x:v>29</x:v>
      </x:c>
      <x:c r="W31" s="11" t="str">
        <x:v>Ques</x:v>
      </x:c>
      <x:c r="X31" s="11" t="str">
        <x:v>Rookie model: pick 3, age and destination-team environment; team pass volume #3, rush volume #29</x:v>
      </x:c>
    </x:row>
    <x:row r="32" ht="19" customHeight="1">
      <x:c r="A32" s="11" t="str">
        <x:v>Available</x:v>
      </x:c>
      <x:c r="B32" s="12" t="n">
        <x:v>27</x:v>
      </x:c>
      <x:c r="C32" s="12" t="n">
        <x:f>ROUNDUP(B32/12,0)</x:f>
        <x:v>3</x:v>
      </x:c>
      <x:c r="D32" s="13" t="n">
        <x:v>34</x:v>
      </x:c>
      <x:c r="E32" s="12" t="n">
        <x:f>B32-D32</x:f>
        <x:v>-7</x:v>
      </x:c>
      <x:c r="F32" s="13" t="n">
        <x:v>34</x:v>
      </x:c>
      <x:c r="G32" s="12" t="n">
        <x:f>B32-F32</x:f>
        <x:v>-7</x:v>
      </x:c>
      <x:c r="H32" s="11" t="str">
        <x:v>Slight reach</x:v>
      </x:c>
      <x:c r="I32" s="11" t="str">
        <x:v>Rashee Rice</x:v>
      </x:c>
      <x:c r="J32" s="11" t="str">
        <x:v>WR</x:v>
      </x:c>
      <x:c r="K32" s="13" t="n">
        <x:v>13</x:v>
      </x:c>
      <x:c r="L32" s="13" t="str">
        <x:v>KC</x:v>
      </x:c>
      <x:c r="M32" s="13" t="n">
        <x:v>5</x:v>
      </x:c>
      <x:c r="N32" s="12" t="n">
        <x:v>229.9</x:v>
      </x:c>
      <x:c r="O32" s="12" t="n">
        <x:v>229</x:v>
      </x:c>
      <x:c r="P32" s="12" t="n">
        <x:f>N32-O32</x:f>
        <x:v>0.9000000000000057</x:v>
      </x:c>
      <x:c r="Q32" s="12" t="n">
        <x:v>229.5</x:v>
      </x:c>
      <x:c r="R32" s="12" t="n">
        <x:v>11.6</x:v>
      </x:c>
      <x:c r="S32" s="12" t="n">
        <x:v>32.5</x:v>
      </x:c>
      <x:c r="T32" s="11" t="str">
        <x:v>Medium</x:v>
      </x:c>
      <x:c r="U32" s="13" t="n">
        <x:v>5</x:v>
      </x:c>
      <x:c r="V32" s="13" t="n">
        <x:v>25</x:v>
      </x:c>
      <x:c r="W32" s="11"/>
      <x:c r="X32" s="11" t="str">
        <x:v>Veteran model: 2025 form, prior-year trend and same team pass/run forecast; team pass volume #5, rush volume #25</x:v>
      </x:c>
    </x:row>
    <x:row r="33" ht="19" customHeight="1">
      <x:c r="A33" s="11" t="str">
        <x:v>Available</x:v>
      </x:c>
      <x:c r="B33" s="12" t="n">
        <x:v>27.8</x:v>
      </x:c>
      <x:c r="C33" s="12" t="n">
        <x:f>ROUNDUP(B33/12,0)</x:f>
        <x:v>3</x:v>
      </x:c>
      <x:c r="D33" s="13" t="n">
        <x:v>40</x:v>
      </x:c>
      <x:c r="E33" s="12" t="n">
        <x:f>B33-D33</x:f>
        <x:v>-12.2</x:v>
      </x:c>
      <x:c r="F33" s="13" t="n">
        <x:v>40</x:v>
      </x:c>
      <x:c r="G33" s="12" t="n">
        <x:f>B33-F33</x:f>
        <x:v>-12.2</x:v>
      </x:c>
      <x:c r="H33" s="11" t="str">
        <x:v>Slight reach</x:v>
      </x:c>
      <x:c r="I33" s="11" t="str">
        <x:v>Malik Nabers</x:v>
      </x:c>
      <x:c r="J33" s="11" t="str">
        <x:v>WR</x:v>
      </x:c>
      <x:c r="K33" s="13" t="n">
        <x:v>15</x:v>
      </x:c>
      <x:c r="L33" s="13" t="str">
        <x:v>NYG</x:v>
      </x:c>
      <x:c r="M33" s="13" t="n">
        <x:v>8</x:v>
      </x:c>
      <x:c r="N33" s="12" t="n">
        <x:v>222</x:v>
      </x:c>
      <x:c r="O33" s="12" t="n">
        <x:v>227</x:v>
      </x:c>
      <x:c r="P33" s="12" t="n">
        <x:f>N33-O33</x:f>
        <x:v>-5</x:v>
      </x:c>
      <x:c r="Q33" s="12" t="n">
        <x:v>225.8</x:v>
      </x:c>
      <x:c r="R33" s="12" t="n">
        <x:v>10.4</x:v>
      </x:c>
      <x:c r="S33" s="12" t="n">
        <x:v>26.9</x:v>
      </x:c>
      <x:c r="T33" s="11" t="str">
        <x:v>Low</x:v>
      </x:c>
      <x:c r="U33" s="13" t="n">
        <x:v>19</x:v>
      </x:c>
      <x:c r="V33" s="13" t="n">
        <x:v>10</x:v>
      </x:c>
      <x:c r="W33" s="11" t="str">
        <x:v>Ques</x:v>
      </x:c>
      <x:c r="X33" s="11" t="str">
        <x:v>Veteran model: 2025 form, prior-year trend and same team pass/run forecast; team pass volume #19, rush volume #10</x:v>
      </x:c>
    </x:row>
    <x:row r="34" ht="19" customHeight="1">
      <x:c r="A34" s="11" t="str">
        <x:v>Available</x:v>
      </x:c>
      <x:c r="B34" s="12" t="n">
        <x:v>29.2</x:v>
      </x:c>
      <x:c r="C34" s="12" t="n">
        <x:f>ROUNDUP(B34/12,0)</x:f>
        <x:v>3</x:v>
      </x:c>
      <x:c r="D34" s="13" t="n">
        <x:v>32</x:v>
      </x:c>
      <x:c r="E34" s="12" t="n">
        <x:f>B34-D34</x:f>
        <x:v>-2.8000000000000007</x:v>
      </x:c>
      <x:c r="F34" s="13" t="n">
        <x:v>30</x:v>
      </x:c>
      <x:c r="G34" s="12" t="n">
        <x:f>B34-F34</x:f>
        <x:v>-0.8000000000000007</x:v>
      </x:c>
      <x:c r="H34" s="11" t="str">
        <x:v>Fair</x:v>
      </x:c>
      <x:c r="I34" s="11" t="str">
        <x:v>Kyren Williams</x:v>
      </x:c>
      <x:c r="J34" s="11" t="str">
        <x:v>RB</x:v>
      </x:c>
      <x:c r="K34" s="13" t="n">
        <x:v>15</x:v>
      </x:c>
      <x:c r="L34" s="13" t="str">
        <x:v>LAR</x:v>
      </x:c>
      <x:c r="M34" s="13" t="n">
        <x:v>11</x:v>
      </x:c>
      <x:c r="N34" s="12" t="n">
        <x:v>224.2</x:v>
      </x:c>
      <x:c r="O34" s="12" t="n">
        <x:v>208</x:v>
      </x:c>
      <x:c r="P34" s="12" t="n">
        <x:f>N34-O34</x:f>
        <x:v>16.19999999999999</x:v>
      </x:c>
      <x:c r="Q34" s="12" t="n">
        <x:v>218.5</x:v>
      </x:c>
      <x:c r="R34" s="12" t="n">
        <x:v>13.7</x:v>
      </x:c>
      <x:c r="S34" s="12" t="n">
        <x:v>33</x:v>
      </x:c>
      <x:c r="T34" s="11" t="str">
        <x:v>High</x:v>
      </x:c>
      <x:c r="U34" s="13" t="n">
        <x:v>7</x:v>
      </x:c>
      <x:c r="V34" s="13" t="n">
        <x:v>14</x:v>
      </x:c>
      <x:c r="W34" s="11"/>
      <x:c r="X34" s="11" t="str">
        <x:v>Veteran model: 2025 form, prior-year trend and same team pass/run forecast; team pass volume #7, rush volume #14</x:v>
      </x:c>
    </x:row>
    <x:row r="35" ht="19" customHeight="1">
      <x:c r="A35" s="11" t="str">
        <x:v>Available</x:v>
      </x:c>
      <x:c r="B35" s="12" t="n">
        <x:v>30.3</x:v>
      </x:c>
      <x:c r="C35" s="12" t="n">
        <x:f>ROUNDUP(B35/12,0)</x:f>
        <x:v>3</x:v>
      </x:c>
      <x:c r="D35" s="13" t="n">
        <x:v>16</x:v>
      </x:c>
      <x:c r="E35" s="12" t="n">
        <x:f>B35-D35</x:f>
        <x:v>14.3</x:v>
      </x:c>
      <x:c r="F35" s="13" t="n">
        <x:v>14</x:v>
      </x:c>
      <x:c r="G35" s="12" t="n">
        <x:f>B35-F35</x:f>
        <x:v>16.3</x:v>
      </x:c>
      <x:c r="H35" s="11" t="str">
        <x:v>Value</x:v>
      </x:c>
      <x:c r="I35" s="11" t="str">
        <x:v>Chris Olave</x:v>
      </x:c>
      <x:c r="J35" s="11" t="str">
        <x:v>WR</x:v>
      </x:c>
      <x:c r="K35" s="13" t="n">
        <x:v>8</x:v>
      </x:c>
      <x:c r="L35" s="13" t="str">
        <x:v>NO</x:v>
      </x:c>
      <x:c r="M35" s="13" t="n">
        <x:v>8</x:v>
      </x:c>
      <x:c r="N35" s="12" t="n">
        <x:v>256.8</x:v>
      </x:c>
      <x:c r="O35" s="12" t="n">
        <x:v>236</x:v>
      </x:c>
      <x:c r="P35" s="12" t="n">
        <x:f>N35-O35</x:f>
        <x:v>20.80000000000001</x:v>
      </x:c>
      <x:c r="Q35" s="12" t="n">
        <x:v>249.5</x:v>
      </x:c>
      <x:c r="R35" s="12" t="n">
        <x:v>14.4</x:v>
      </x:c>
      <x:c r="S35" s="12" t="n">
        <x:v>57.3</x:v>
      </x:c>
      <x:c r="T35" s="11" t="str">
        <x:v>High</x:v>
      </x:c>
      <x:c r="U35" s="13" t="n">
        <x:v>8</x:v>
      </x:c>
      <x:c r="V35" s="13" t="n">
        <x:v>22</x:v>
      </x:c>
      <x:c r="W35" s="11"/>
      <x:c r="X35" s="11" t="str">
        <x:v>Veteran model: 2025 form, prior-year trend and same team pass/run forecast; team pass volume #8, rush volume #22</x:v>
      </x:c>
    </x:row>
    <x:row r="36" ht="19" customHeight="1">
      <x:c r="A36" s="11" t="str">
        <x:v>Available</x:v>
      </x:c>
      <x:c r="B36" s="12" t="n">
        <x:v>31.4</x:v>
      </x:c>
      <x:c r="C36" s="12" t="n">
        <x:f>ROUNDUP(B36/12,0)</x:f>
        <x:v>3</x:v>
      </x:c>
      <x:c r="D36" s="13" t="n">
        <x:v>36</x:v>
      </x:c>
      <x:c r="E36" s="12" t="n">
        <x:f>B36-D36</x:f>
        <x:v>-4.600000000000001</x:v>
      </x:c>
      <x:c r="F36" s="13" t="n">
        <x:v>32</x:v>
      </x:c>
      <x:c r="G36" s="12" t="n">
        <x:f>B36-F36</x:f>
        <x:v>-0.6000000000000014</x:v>
      </x:c>
      <x:c r="H36" s="11" t="str">
        <x:v>Fair</x:v>
      </x:c>
      <x:c r="I36" s="11" t="str">
        <x:v>Josh Jacobs</x:v>
      </x:c>
      <x:c r="J36" s="11" t="str">
        <x:v>RB</x:v>
      </x:c>
      <x:c r="K36" s="13" t="n">
        <x:v>14</x:v>
      </x:c>
      <x:c r="L36" s="13" t="str">
        <x:v>GB</x:v>
      </x:c>
      <x:c r="M36" s="13" t="n">
        <x:v>11</x:v>
      </x:c>
      <x:c r="N36" s="12" t="n">
        <x:v>228.4</x:v>
      </x:c>
      <x:c r="O36" s="12" t="n">
        <x:v>203</x:v>
      </x:c>
      <x:c r="P36" s="12" t="n">
        <x:f>N36-O36</x:f>
        <x:v>25.400000000000006</x:v>
      </x:c>
      <x:c r="Q36" s="12" t="n">
        <x:v>219.5</x:v>
      </x:c>
      <x:c r="R36" s="12" t="n">
        <x:v>12.4</x:v>
      </x:c>
      <x:c r="S36" s="12" t="n">
        <x:v>30.6</x:v>
      </x:c>
      <x:c r="T36" s="11" t="str">
        <x:v>High</x:v>
      </x:c>
      <x:c r="U36" s="13" t="n">
        <x:v>30</x:v>
      </x:c>
      <x:c r="V36" s="13" t="n">
        <x:v>4</x:v>
      </x:c>
      <x:c r="W36" s="11" t="str">
        <x:v>Ques</x:v>
      </x:c>
      <x:c r="X36" s="11" t="str">
        <x:v>Veteran model: 2025 form, prior-year trend and same team pass/run forecast; team pass volume #30, rush volume #4</x:v>
      </x:c>
    </x:row>
    <x:row r="37" ht="19" customHeight="1">
      <x:c r="A37" s="11" t="str">
        <x:v>Available</x:v>
      </x:c>
      <x:c r="B37" s="12" t="n">
        <x:v>32.5</x:v>
      </x:c>
      <x:c r="C37" s="12" t="n">
        <x:f>ROUNDUP(B37/12,0)</x:f>
        <x:v>3</x:v>
      </x:c>
      <x:c r="D37" s="13" t="n">
        <x:v>26</x:v>
      </x:c>
      <x:c r="E37" s="12" t="n">
        <x:f>B37-D37</x:f>
        <x:v>6.5</x:v>
      </x:c>
      <x:c r="F37" s="13" t="n">
        <x:v>23</x:v>
      </x:c>
      <x:c r="G37" s="12" t="n">
        <x:f>B37-F37</x:f>
        <x:v>9.5</x:v>
      </x:c>
      <x:c r="H37" s="11" t="str">
        <x:v>Fair</x:v>
      </x:c>
      <x:c r="I37" s="11" t="str">
        <x:v>Breece Hall</x:v>
      </x:c>
      <x:c r="J37" s="11" t="str">
        <x:v>RB</x:v>
      </x:c>
      <x:c r="K37" s="13" t="n">
        <x:v>12</x:v>
      </x:c>
      <x:c r="L37" s="13" t="str">
        <x:v>NYJ</x:v>
      </x:c>
      <x:c r="M37" s="13" t="n">
        <x:v>13</x:v>
      </x:c>
      <x:c r="N37" s="12" t="n">
        <x:v>232.5</x:v>
      </x:c>
      <x:c r="O37" s="12" t="n">
        <x:v>211</x:v>
      </x:c>
      <x:c r="P37" s="12" t="n">
        <x:f>N37-O37</x:f>
        <x:v>21.5</x:v>
      </x:c>
      <x:c r="Q37" s="12" t="n">
        <x:v>225</x:v>
      </x:c>
      <x:c r="R37" s="12" t="n">
        <x:v>14.3</x:v>
      </x:c>
      <x:c r="S37" s="12" t="n">
        <x:v>39.9</x:v>
      </x:c>
      <x:c r="T37" s="11" t="str">
        <x:v>High</x:v>
      </x:c>
      <x:c r="U37" s="13" t="n">
        <x:v>20</x:v>
      </x:c>
      <x:c r="V37" s="13" t="n">
        <x:v>28</x:v>
      </x:c>
      <x:c r="W37" s="11" t="str">
        <x:v>Ques</x:v>
      </x:c>
      <x:c r="X37" s="11" t="str">
        <x:v>Veteran model: 2025 form, prior-year trend and same team pass/run forecast; team pass volume #20, rush volume #28</x:v>
      </x:c>
    </x:row>
    <x:row r="38" ht="19" customHeight="1">
      <x:c r="A38" s="11" t="str">
        <x:v>Available</x:v>
      </x:c>
      <x:c r="B38" s="12" t="n">
        <x:v>33.5</x:v>
      </x:c>
      <x:c r="C38" s="12" t="n">
        <x:f>ROUNDUP(B38/12,0)</x:f>
        <x:v>3</x:v>
      </x:c>
      <x:c r="D38" s="13" t="n">
        <x:v>66</x:v>
      </x:c>
      <x:c r="E38" s="12" t="n">
        <x:f>B38-D38</x:f>
        <x:v>-32.5</x:v>
      </x:c>
      <x:c r="F38" s="13" t="n">
        <x:v>83</x:v>
      </x:c>
      <x:c r="G38" s="12" t="n">
        <x:f>B38-F38</x:f>
        <x:v>-49.5</x:v>
      </x:c>
      <x:c r="H38" s="11" t="str">
        <x:v>Pricey</x:v>
      </x:c>
      <x:c r="I38" s="11" t="str">
        <x:v>Lamar Jackson</x:v>
      </x:c>
      <x:c r="J38" s="11" t="str">
        <x:v>QB</x:v>
      </x:c>
      <x:c r="K38" s="13" t="n">
        <x:v>6</x:v>
      </x:c>
      <x:c r="L38" s="13" t="str">
        <x:v>BAL</x:v>
      </x:c>
      <x:c r="M38" s="13" t="n">
        <x:v>13</x:v>
      </x:c>
      <x:c r="N38" s="12" t="n">
        <x:v>283.5</x:v>
      </x:c>
      <x:c r="O38" s="12" t="n">
        <x:v>326</x:v>
      </x:c>
      <x:c r="P38" s="12" t="n">
        <x:f>N38-O38</x:f>
        <x:v>-42.5</x:v>
      </x:c>
      <x:c r="Q38" s="12" t="n">
        <x:v>298.4</x:v>
      </x:c>
      <x:c r="R38" s="12" t="n">
        <x:v>12.1</x:v>
      </x:c>
      <x:c r="S38" s="12" t="n">
        <x:v>8.7</x:v>
      </x:c>
      <x:c r="T38" s="11" t="str">
        <x:v>High</x:v>
      </x:c>
      <x:c r="U38" s="13" t="n">
        <x:v>32</x:v>
      </x:c>
      <x:c r="V38" s="13" t="n">
        <x:v>1</x:v>
      </x:c>
      <x:c r="W38" s="11"/>
      <x:c r="X38" s="11" t="str">
        <x:v>Veteran model: 2025 form, prior-year trend and same team pass/run forecast; team pass volume #32, rush volume #1</x:v>
      </x:c>
    </x:row>
    <x:row r="39" ht="19" customHeight="1">
      <x:c r="A39" s="11" t="str">
        <x:v>Available</x:v>
      </x:c>
      <x:c r="B39" s="12" t="n">
        <x:v>34.2</x:v>
      </x:c>
      <x:c r="C39" s="12" t="n">
        <x:f>ROUNDUP(B39/12,0)</x:f>
        <x:v>3</x:v>
      </x:c>
      <x:c r="D39" s="13" t="n">
        <x:v>42</x:v>
      </x:c>
      <x:c r="E39" s="12" t="n">
        <x:f>B39-D39</x:f>
        <x:v>-7.799999999999997</x:v>
      </x:c>
      <x:c r="F39" s="13" t="n">
        <x:v>41</x:v>
      </x:c>
      <x:c r="G39" s="12" t="n">
        <x:f>B39-F39</x:f>
        <x:v>-6.799999999999997</x:v>
      </x:c>
      <x:c r="H39" s="11" t="str">
        <x:v>Slight reach</x:v>
      </x:c>
      <x:c r="I39" s="11" t="str">
        <x:v>Tee Higgins</x:v>
      </x:c>
      <x:c r="J39" s="11" t="str">
        <x:v>WR</x:v>
      </x:c>
      <x:c r="K39" s="13" t="n">
        <x:v>16</x:v>
      </x:c>
      <x:c r="L39" s="13" t="str">
        <x:v>CIN</x:v>
      </x:c>
      <x:c r="M39" s="13" t="n">
        <x:v>6</x:v>
      </x:c>
      <x:c r="N39" s="12" t="n">
        <x:v>216.3</x:v>
      </x:c>
      <x:c r="O39" s="12" t="n">
        <x:v>224</x:v>
      </x:c>
      <x:c r="P39" s="12" t="n">
        <x:f>N39-O39</x:f>
        <x:v>-7.699999999999989</x:v>
      </x:c>
      <x:c r="Q39" s="12" t="n">
        <x:v>219</x:v>
      </x:c>
      <x:c r="R39" s="12" t="n">
        <x:v>12</x:v>
      </x:c>
      <x:c r="S39" s="12" t="n">
        <x:v>26.3</x:v>
      </x:c>
      <x:c r="T39" s="11" t="str">
        <x:v>High</x:v>
      </x:c>
      <x:c r="U39" s="13" t="n">
        <x:v>1</x:v>
      </x:c>
      <x:c r="V39" s="13" t="n">
        <x:v>31</x:v>
      </x:c>
      <x:c r="W39" s="11"/>
      <x:c r="X39" s="11" t="str">
        <x:v>Veteran model: 2025 form, prior-year trend and same team pass/run forecast; team pass volume #1, rush volume #31</x:v>
      </x:c>
    </x:row>
    <x:row r="40" ht="19" customHeight="1">
      <x:c r="A40" s="11" t="str">
        <x:v>Available</x:v>
      </x:c>
      <x:c r="B40" s="12" t="n">
        <x:v>34.8</x:v>
      </x:c>
      <x:c r="C40" s="12" t="n">
        <x:f>ROUNDUP(B40/12,0)</x:f>
        <x:v>3</x:v>
      </x:c>
      <x:c r="D40" s="13" t="n">
        <x:v>38</x:v>
      </x:c>
      <x:c r="E40" s="12" t="n">
        <x:f>B40-D40</x:f>
        <x:v>-3.200000000000003</x:v>
      </x:c>
      <x:c r="F40" s="13" t="n">
        <x:v>42</x:v>
      </x:c>
      <x:c r="G40" s="12" t="n">
        <x:f>B40-F40</x:f>
        <x:v>-7.200000000000003</x:v>
      </x:c>
      <x:c r="H40" s="11" t="str">
        <x:v>Fair</x:v>
      </x:c>
      <x:c r="I40" s="11" t="str">
        <x:v>Tetairoa McMillan</x:v>
      </x:c>
      <x:c r="J40" s="11" t="str">
        <x:v>WR</x:v>
      </x:c>
      <x:c r="K40" s="13" t="n">
        <x:v>18</x:v>
      </x:c>
      <x:c r="L40" s="13" t="str">
        <x:v>CAR</x:v>
      </x:c>
      <x:c r="M40" s="13" t="n">
        <x:v>5</x:v>
      </x:c>
      <x:c r="N40" s="12" t="n">
        <x:v>210.6</x:v>
      </x:c>
      <x:c r="O40" s="12" t="n">
        <x:v>223</x:v>
      </x:c>
      <x:c r="P40" s="12" t="n">
        <x:f>N40-O40</x:f>
        <x:v>-12.400000000000006</x:v>
      </x:c>
      <x:c r="Q40" s="12" t="n">
        <x:v>216.8</x:v>
      </x:c>
      <x:c r="R40" s="12" t="n">
        <x:v>14.2</x:v>
      </x:c>
      <x:c r="S40" s="12" t="n">
        <x:v>29.2</x:v>
      </x:c>
      <x:c r="T40" s="11" t="str">
        <x:v>Medium</x:v>
      </x:c>
      <x:c r="U40" s="13" t="n">
        <x:v>22</x:v>
      </x:c>
      <x:c r="V40" s="13" t="n">
        <x:v>23</x:v>
      </x:c>
      <x:c r="W40" s="11"/>
      <x:c r="X40" s="11" t="str">
        <x:v>Veteran model: 2025 form, prior-year trend and same team pass/run forecast; team pass volume #22, rush volume #23</x:v>
      </x:c>
    </x:row>
    <x:row r="41" ht="19" customHeight="1">
      <x:c r="A41" s="11" t="str">
        <x:v>Available</x:v>
      </x:c>
      <x:c r="B41" s="12" t="n">
        <x:v>36.2</x:v>
      </x:c>
      <x:c r="C41" s="12" t="n">
        <x:f>ROUNDUP(B41/12,0)</x:f>
        <x:v>4</x:v>
      </x:c>
      <x:c r="D41" s="13" t="n">
        <x:v>33</x:v>
      </x:c>
      <x:c r="E41" s="12" t="n">
        <x:f>B41-D41</x:f>
        <x:v>3.200000000000003</x:v>
      </x:c>
      <x:c r="F41" s="13" t="n">
        <x:v>31</x:v>
      </x:c>
      <x:c r="G41" s="12" t="n">
        <x:f>B41-F41</x:f>
        <x:v>5.200000000000003</x:v>
      </x:c>
      <x:c r="H41" s="11" t="str">
        <x:v>Fair</x:v>
      </x:c>
      <x:c r="I41" s="11" t="str">
        <x:v>Javonte Williams</x:v>
      </x:c>
      <x:c r="J41" s="11" t="str">
        <x:v>RB</x:v>
      </x:c>
      <x:c r="K41" s="13" t="n">
        <x:v>16</x:v>
      </x:c>
      <x:c r="L41" s="13" t="str">
        <x:v>DAL</x:v>
      </x:c>
      <x:c r="M41" s="13" t="n">
        <x:v>14</x:v>
      </x:c>
      <x:c r="N41" s="12" t="n">
        <x:v>224.4</x:v>
      </x:c>
      <x:c r="O41" s="12" t="n">
        <x:v>207</x:v>
      </x:c>
      <x:c r="P41" s="12" t="n">
        <x:f>N41-O41</x:f>
        <x:v>17.400000000000006</x:v>
      </x:c>
      <x:c r="Q41" s="12" t="n">
        <x:v>218.3</x:v>
      </x:c>
      <x:c r="R41" s="12" t="n">
        <x:v>13.6</x:v>
      </x:c>
      <x:c r="S41" s="12" t="n">
        <x:v>32.6</x:v>
      </x:c>
      <x:c r="T41" s="11" t="str">
        <x:v>High</x:v>
      </x:c>
      <x:c r="U41" s="13" t="n">
        <x:v>2</x:v>
      </x:c>
      <x:c r="V41" s="13" t="n">
        <x:v>20</x:v>
      </x:c>
      <x:c r="W41" s="11"/>
      <x:c r="X41" s="11" t="str">
        <x:v>Veteran model: 2025 form, prior-year trend and same team pass/run forecast; team pass volume #2, rush volume #20</x:v>
      </x:c>
    </x:row>
    <x:row r="42" ht="19" customHeight="1">
      <x:c r="A42" s="11" t="str">
        <x:v>Available</x:v>
      </x:c>
      <x:c r="B42" s="12" t="n">
        <x:v>37.5</x:v>
      </x:c>
      <x:c r="C42" s="12" t="n">
        <x:f>ROUNDUP(B42/12,0)</x:f>
        <x:v>4</x:v>
      </x:c>
      <x:c r="D42" s="13" t="n">
        <x:v>31</x:v>
      </x:c>
      <x:c r="E42" s="12" t="n">
        <x:f>B42-D42</x:f>
        <x:v>6.5</x:v>
      </x:c>
      <x:c r="F42" s="13" t="n">
        <x:v>33</x:v>
      </x:c>
      <x:c r="G42" s="12" t="n">
        <x:f>B42-F42</x:f>
        <x:v>4.5</x:v>
      </x:c>
      <x:c r="H42" s="11" t="str">
        <x:v>Fair</x:v>
      </x:c>
      <x:c r="I42" s="11" t="str">
        <x:v>DeVonta Smith</x:v>
      </x:c>
      <x:c r="J42" s="11" t="str">
        <x:v>WR</x:v>
      </x:c>
      <x:c r="K42" s="13" t="n">
        <x:v>14</x:v>
      </x:c>
      <x:c r="L42" s="13" t="str">
        <x:v>PHI</x:v>
      </x:c>
      <x:c r="M42" s="13" t="n">
        <x:v>10</x:v>
      </x:c>
      <x:c r="N42" s="12" t="n">
        <x:v>224.8</x:v>
      </x:c>
      <x:c r="O42" s="12" t="n">
        <x:v>229</x:v>
      </x:c>
      <x:c r="P42" s="12" t="n">
        <x:f>N42-O42</x:f>
        <x:v>-4.199999999999989</x:v>
      </x:c>
      <x:c r="Q42" s="12" t="n">
        <x:v>226.3</x:v>
      </x:c>
      <x:c r="R42" s="12" t="n">
        <x:v>13.1</x:v>
      </x:c>
      <x:c r="S42" s="12" t="n">
        <x:v>34.3</x:v>
      </x:c>
      <x:c r="T42" s="11" t="str">
        <x:v>High</x:v>
      </x:c>
      <x:c r="U42" s="13" t="n">
        <x:v>31</x:v>
      </x:c>
      <x:c r="V42" s="13" t="n">
        <x:v>2</x:v>
      </x:c>
      <x:c r="W42" s="11" t="str">
        <x:v>Ques</x:v>
      </x:c>
      <x:c r="X42" s="11" t="str">
        <x:v>Veteran model: 2025 form, prior-year trend and same team pass/run forecast; team pass volume #31, rush volume #2</x:v>
      </x:c>
    </x:row>
    <x:row r="43" ht="19" customHeight="1">
      <x:c r="A43" s="11" t="str">
        <x:v>Available</x:v>
      </x:c>
      <x:c r="B43" s="12" t="n">
        <x:v>38.6</x:v>
      </x:c>
      <x:c r="C43" s="12" t="n">
        <x:f>ROUNDUP(B43/12,0)</x:f>
        <x:v>4</x:v>
      </x:c>
      <x:c r="D43" s="13" t="n">
        <x:v>43</x:v>
      </x:c>
      <x:c r="E43" s="12" t="n">
        <x:f>B43-D43</x:f>
        <x:v>-4.399999999999999</x:v>
      </x:c>
      <x:c r="F43" s="13" t="n">
        <x:v>44</x:v>
      </x:c>
      <x:c r="G43" s="12" t="n">
        <x:f>B43-F43</x:f>
        <x:v>-5.399999999999999</x:v>
      </x:c>
      <x:c r="H43" s="11" t="str">
        <x:v>Fair</x:v>
      </x:c>
      <x:c r="I43" s="11" t="str">
        <x:v>Ladd McConkey</x:v>
      </x:c>
      <x:c r="J43" s="11" t="str">
        <x:v>WR</x:v>
      </x:c>
      <x:c r="K43" s="13" t="n">
        <x:v>19</x:v>
      </x:c>
      <x:c r="L43" s="13" t="str">
        <x:v>LAC</x:v>
      </x:c>
      <x:c r="M43" s="13" t="n">
        <x:v>7</x:v>
      </x:c>
      <x:c r="N43" s="12" t="n">
        <x:v>209.4</x:v>
      </x:c>
      <x:c r="O43" s="12" t="n">
        <x:v>228</x:v>
      </x:c>
      <x:c r="P43" s="12" t="n">
        <x:f>N43-O43</x:f>
        <x:v>-18.599999999999994</x:v>
      </x:c>
      <x:c r="Q43" s="12" t="n">
        <x:v>215.9</x:v>
      </x:c>
      <x:c r="R43" s="12" t="n">
        <x:v>12.9</x:v>
      </x:c>
      <x:c r="S43" s="12" t="n">
        <x:v>25.9</x:v>
      </x:c>
      <x:c r="T43" s="11" t="str">
        <x:v>High</x:v>
      </x:c>
      <x:c r="U43" s="13" t="n">
        <x:v>14</x:v>
      </x:c>
      <x:c r="V43" s="13" t="n">
        <x:v>16</x:v>
      </x:c>
      <x:c r="W43" s="11"/>
      <x:c r="X43" s="11" t="str">
        <x:v>Veteran model: 2025 form, prior-year trend and same team pass/run forecast; team pass volume #14, rush volume #16</x:v>
      </x:c>
    </x:row>
    <x:row r="44" ht="19" customHeight="1">
      <x:c r="A44" s="11" t="str">
        <x:v>Available</x:v>
      </x:c>
      <x:c r="B44" s="12" t="n">
        <x:v>39.3</x:v>
      </x:c>
      <x:c r="C44" s="12" t="n">
        <x:f>ROUNDUP(B44/12,0)</x:f>
        <x:v>4</x:v>
      </x:c>
      <x:c r="D44" s="13" t="n">
        <x:v>52</x:v>
      </x:c>
      <x:c r="E44" s="12" t="n">
        <x:f>B44-D44</x:f>
        <x:v>-12.700000000000003</x:v>
      </x:c>
      <x:c r="F44" s="13" t="n">
        <x:v>54</x:v>
      </x:c>
      <x:c r="G44" s="12" t="n">
        <x:f>B44-F44</x:f>
        <x:v>-14.700000000000003</x:v>
      </x:c>
      <x:c r="H44" s="11" t="str">
        <x:v>Slight reach</x:v>
      </x:c>
      <x:c r="I44" s="11" t="str">
        <x:v>Bucky Irving</x:v>
      </x:c>
      <x:c r="J44" s="11" t="str">
        <x:v>RB</x:v>
      </x:c>
      <x:c r="K44" s="13" t="n">
        <x:v>21</x:v>
      </x:c>
      <x:c r="L44" s="13" t="str">
        <x:v>TB</x:v>
      </x:c>
      <x:c r="M44" s="13" t="n">
        <x:v>10</x:v>
      </x:c>
      <x:c r="N44" s="12" t="n">
        <x:v>204.4</x:v>
      </x:c>
      <x:c r="O44" s="12" t="n">
        <x:v>197</x:v>
      </x:c>
      <x:c r="P44" s="12" t="n">
        <x:f>N44-O44</x:f>
        <x:v>7.400000000000006</x:v>
      </x:c>
      <x:c r="Q44" s="12" t="n">
        <x:v>200.7</x:v>
      </x:c>
      <x:c r="R44" s="12" t="n">
        <x:v>11.7</x:v>
      </x:c>
      <x:c r="S44" s="12" t="n">
        <x:v>15.9</x:v>
      </x:c>
      <x:c r="T44" s="11" t="str">
        <x:v>Medium</x:v>
      </x:c>
      <x:c r="U44" s="13" t="n">
        <x:v>12</x:v>
      </x:c>
      <x:c r="V44" s="13" t="n">
        <x:v>11</x:v>
      </x:c>
      <x:c r="W44" s="11"/>
      <x:c r="X44" s="11" t="str">
        <x:v>Veteran model: 2025 form, prior-year trend and same team pass/run forecast; team pass volume #12, rush volume #11</x:v>
      </x:c>
    </x:row>
    <x:row r="45" ht="19" customHeight="1">
      <x:c r="A45" s="11" t="str">
        <x:v>Available</x:v>
      </x:c>
      <x:c r="B45" s="12" t="n">
        <x:v>40.5</x:v>
      </x:c>
      <x:c r="C45" s="12" t="n">
        <x:f>ROUNDUP(B45/12,0)</x:f>
        <x:v>4</x:v>
      </x:c>
      <x:c r="D45" s="13" t="n">
        <x:v>46</x:v>
      </x:c>
      <x:c r="E45" s="12" t="n">
        <x:f>B45-D45</x:f>
        <x:v>-5.5</x:v>
      </x:c>
      <x:c r="F45" s="13" t="n">
        <x:v>55</x:v>
      </x:c>
      <x:c r="G45" s="12" t="n">
        <x:f>B45-F45</x:f>
        <x:v>-14.5</x:v>
      </x:c>
      <x:c r="H45" s="11" t="str">
        <x:v>Fair</x:v>
      </x:c>
      <x:c r="I45" s="11" t="str">
        <x:v>Emeka Egbuka</x:v>
      </x:c>
      <x:c r="J45" s="11" t="str">
        <x:v>WR</x:v>
      </x:c>
      <x:c r="K45" s="13" t="n">
        <x:v>21</x:v>
      </x:c>
      <x:c r="L45" s="13" t="str">
        <x:v>TB</x:v>
      </x:c>
      <x:c r="M45" s="13" t="n">
        <x:v>10</x:v>
      </x:c>
      <x:c r="N45" s="12" t="n">
        <x:v>198.9</x:v>
      </x:c>
      <x:c r="O45" s="12" t="n">
        <x:v>224</x:v>
      </x:c>
      <x:c r="P45" s="12" t="n">
        <x:f>N45-O45</x:f>
        <x:v>-25.099999999999994</x:v>
      </x:c>
      <x:c r="Q45" s="12" t="n">
        <x:v>211.4</x:v>
      </x:c>
      <x:c r="R45" s="12" t="n">
        <x:v>14.2</x:v>
      </x:c>
      <x:c r="S45" s="12" t="n">
        <x:v>24.7</x:v>
      </x:c>
      <x:c r="T45" s="11" t="str">
        <x:v>Medium</x:v>
      </x:c>
      <x:c r="U45" s="13" t="n">
        <x:v>12</x:v>
      </x:c>
      <x:c r="V45" s="13" t="n">
        <x:v>11</x:v>
      </x:c>
      <x:c r="W45" s="11" t="str">
        <x:v>Ques</x:v>
      </x:c>
      <x:c r="X45" s="11" t="str">
        <x:v>Veteran model: 2025 form, prior-year trend and same team pass/run forecast; team pass volume #12, rush volume #11</x:v>
      </x:c>
    </x:row>
    <x:row r="46" ht="19" customHeight="1">
      <x:c r="A46" s="11" t="str">
        <x:v>Available</x:v>
      </x:c>
      <x:c r="B46" s="12" t="n">
        <x:v>41.1</x:v>
      </x:c>
      <x:c r="C46" s="12" t="n">
        <x:f>ROUNDUP(B46/12,0)</x:f>
        <x:v>4</x:v>
      </x:c>
      <x:c r="D46" s="13" t="n">
        <x:v>21</x:v>
      </x:c>
      <x:c r="E46" s="12" t="n">
        <x:f>B46-D46</x:f>
        <x:v>20.1</x:v>
      </x:c>
      <x:c r="F46" s="13" t="n">
        <x:v>18</x:v>
      </x:c>
      <x:c r="G46" s="12" t="n">
        <x:f>B46-F46</x:f>
        <x:v>23.1</x:v>
      </x:c>
      <x:c r="H46" s="11" t="str">
        <x:v>Target</x:v>
      </x:c>
      <x:c r="I46" s="11" t="str">
        <x:v>Zay Flowers</x:v>
      </x:c>
      <x:c r="J46" s="11" t="str">
        <x:v>WR</x:v>
      </x:c>
      <x:c r="K46" s="13" t="n">
        <x:v>11</x:v>
      </x:c>
      <x:c r="L46" s="13" t="str">
        <x:v>BAL</x:v>
      </x:c>
      <x:c r="M46" s="13" t="n">
        <x:v>13</x:v>
      </x:c>
      <x:c r="N46" s="12" t="n">
        <x:v>237.8</x:v>
      </x:c>
      <x:c r="O46" s="12" t="n">
        <x:v>228</x:v>
      </x:c>
      <x:c r="P46" s="12" t="n">
        <x:f>N46-O46</x:f>
        <x:v>9.800000000000011</x:v>
      </x:c>
      <x:c r="Q46" s="12" t="n">
        <x:v>234.4</x:v>
      </x:c>
      <x:c r="R46" s="12" t="n">
        <x:v>15.6</x:v>
      </x:c>
      <x:c r="S46" s="12" t="n">
        <x:v>48.3</x:v>
      </x:c>
      <x:c r="T46" s="11" t="str">
        <x:v>High</x:v>
      </x:c>
      <x:c r="U46" s="13" t="n">
        <x:v>32</x:v>
      </x:c>
      <x:c r="V46" s="13" t="n">
        <x:v>1</x:v>
      </x:c>
      <x:c r="W46" s="11"/>
      <x:c r="X46" s="11" t="str">
        <x:v>Veteran model: 2025 form, prior-year trend and same team pass/run forecast; team pass volume #32, rush volume #1</x:v>
      </x:c>
    </x:row>
    <x:row r="47" ht="19" customHeight="1">
      <x:c r="A47" s="11" t="str">
        <x:v>Available</x:v>
      </x:c>
      <x:c r="B47" s="12" t="n">
        <x:v>41.3</x:v>
      </x:c>
      <x:c r="C47" s="12" t="n">
        <x:f>ROUNDUP(B47/12,0)</x:f>
        <x:v>4</x:v>
      </x:c>
      <x:c r="D47" s="13" t="n">
        <x:v>29</x:v>
      </x:c>
      <x:c r="E47" s="12" t="n">
        <x:f>B47-D47</x:f>
        <x:v>12.299999999999997</x:v>
      </x:c>
      <x:c r="F47" s="13" t="n">
        <x:v>69</x:v>
      </x:c>
      <x:c r="G47" s="12" t="n">
        <x:f>B47-F47</x:f>
        <x:v>-27.700000000000003</x:v>
      </x:c>
      <x:c r="H47" s="11" t="str">
        <x:v>Value</x:v>
      </x:c>
      <x:c r="I47" s="11" t="str">
        <x:v>Colston Loveland</x:v>
      </x:c>
      <x:c r="J47" s="11" t="str">
        <x:v>TE</x:v>
      </x:c>
      <x:c r="K47" s="13" t="n">
        <x:v>4</x:v>
      </x:c>
      <x:c r="L47" s="13" t="str">
        <x:v>CHI</x:v>
      </x:c>
      <x:c r="M47" s="13" t="n">
        <x:v>10</x:v>
      </x:c>
      <x:c r="N47" s="12" t="n">
        <x:v>167.1</x:v>
      </x:c>
      <x:c r="O47" s="12" t="n">
        <x:v>215</x:v>
      </x:c>
      <x:c r="P47" s="12" t="n">
        <x:f>N47-O47</x:f>
        <x:v>-47.900000000000006</x:v>
      </x:c>
      <x:c r="Q47" s="12" t="n">
        <x:v>191.1</x:v>
      </x:c>
      <x:c r="R47" s="12" t="n">
        <x:v>15.7</x:v>
      </x:c>
      <x:c r="S47" s="12" t="n">
        <x:v>35</x:v>
      </x:c>
      <x:c r="T47" s="11" t="str">
        <x:v>Medium</x:v>
      </x:c>
      <x:c r="U47" s="13" t="n">
        <x:v>13</x:v>
      </x:c>
      <x:c r="V47" s="13" t="n">
        <x:v>6</x:v>
      </x:c>
      <x:c r="W47" s="11"/>
      <x:c r="X47" s="11" t="str">
        <x:v>Veteran model: 2025 form, prior-year trend and same team pass/run forecast; team pass volume #13, rush volume #6</x:v>
      </x:c>
    </x:row>
    <x:row r="48" ht="19" customHeight="1">
      <x:c r="A48" s="11" t="str">
        <x:v>Available</x:v>
      </x:c>
      <x:c r="B48" s="12" t="n">
        <x:v>43.7</x:v>
      </x:c>
      <x:c r="C48" s="12" t="n">
        <x:f>ROUNDUP(B48/12,0)</x:f>
        <x:v>4</x:v>
      </x:c>
      <x:c r="D48" s="13" t="n">
        <x:v>53</x:v>
      </x:c>
      <x:c r="E48" s="12" t="n">
        <x:f>B48-D48</x:f>
        <x:v>-9.299999999999997</x:v>
      </x:c>
      <x:c r="F48" s="13" t="n">
        <x:v>62</x:v>
      </x:c>
      <x:c r="G48" s="12" t="n">
        <x:f>B48-F48</x:f>
        <x:v>-18.299999999999997</x:v>
      </x:c>
      <x:c r="H48" s="11" t="str">
        <x:v>Slight reach</x:v>
      </x:c>
      <x:c r="I48" s="11" t="str">
        <x:v>Cam Skattebo</x:v>
      </x:c>
      <x:c r="J48" s="11" t="str">
        <x:v>RB</x:v>
      </x:c>
      <x:c r="K48" s="13" t="n">
        <x:v>20</x:v>
      </x:c>
      <x:c r="L48" s="13" t="str">
        <x:v>NYG</x:v>
      </x:c>
      <x:c r="M48" s="13" t="n">
        <x:v>8</x:v>
      </x:c>
      <x:c r="N48" s="12" t="n">
        <x:v>200.8</x:v>
      </x:c>
      <x:c r="O48" s="12" t="n">
        <x:v>201</x:v>
      </x:c>
      <x:c r="P48" s="12" t="n">
        <x:f>N48-O48</x:f>
        <x:v>-0.19999999999998863</x:v>
      </x:c>
      <x:c r="Q48" s="12" t="n">
        <x:v>200.9</x:v>
      </x:c>
      <x:c r="R48" s="12" t="n">
        <x:v>10.9</x:v>
      </x:c>
      <x:c r="S48" s="12" t="n">
        <x:v>14.9</x:v>
      </x:c>
      <x:c r="T48" s="11" t="str">
        <x:v>Medium</x:v>
      </x:c>
      <x:c r="U48" s="13" t="n">
        <x:v>19</x:v>
      </x:c>
      <x:c r="V48" s="13" t="n">
        <x:v>10</x:v>
      </x:c>
      <x:c r="W48" s="11"/>
      <x:c r="X48" s="11" t="str">
        <x:v>Veteran model: 2025 form, prior-year trend and same team pass/run forecast; team pass volume #19, rush volume #10</x:v>
      </x:c>
    </x:row>
    <x:row r="49" ht="19" customHeight="1">
      <x:c r="A49" s="11" t="str">
        <x:v>Available</x:v>
      </x:c>
      <x:c r="B49" s="12" t="n">
        <x:v>44.7</x:v>
      </x:c>
      <x:c r="C49" s="12" t="n">
        <x:f>ROUNDUP(B49/12,0)</x:f>
        <x:v>4</x:v>
      </x:c>
      <x:c r="D49" s="13" t="n">
        <x:v>41</x:v>
      </x:c>
      <x:c r="E49" s="12" t="n">
        <x:f>B49-D49</x:f>
        <x:v>3.700000000000003</x:v>
      </x:c>
      <x:c r="F49" s="13" t="n">
        <x:v>43</x:v>
      </x:c>
      <x:c r="G49" s="12" t="n">
        <x:f>B49-F49</x:f>
        <x:v>1.7000000000000028</x:v>
      </x:c>
      <x:c r="H49" s="11" t="str">
        <x:v>Fair</x:v>
      </x:c>
      <x:c r="I49" s="11" t="str">
        <x:v>Travis Etienne</x:v>
      </x:c>
      <x:c r="J49" s="11" t="str">
        <x:v>RB</x:v>
      </x:c>
      <x:c r="K49" s="13" t="n">
        <x:v>18</x:v>
      </x:c>
      <x:c r="L49" s="13" t="str">
        <x:v>NO</x:v>
      </x:c>
      <x:c r="M49" s="13" t="n">
        <x:v>8</x:v>
      </x:c>
      <x:c r="N49" s="12" t="n">
        <x:v>211.2</x:v>
      </x:c>
      <x:c r="O49" s="12" t="n">
        <x:v>208</x:v>
      </x:c>
      <x:c r="P49" s="12" t="n">
        <x:f>N49-O49</x:f>
        <x:v>3.1999999999999886</x:v>
      </x:c>
      <x:c r="Q49" s="12" t="n">
        <x:v>210.1</x:v>
      </x:c>
      <x:c r="R49" s="12" t="n">
        <x:v>13.8</x:v>
      </x:c>
      <x:c r="S49" s="12" t="n">
        <x:v>26.4</x:v>
      </x:c>
      <x:c r="T49" s="11" t="str">
        <x:v>High</x:v>
      </x:c>
      <x:c r="U49" s="13" t="n">
        <x:v>8</x:v>
      </x:c>
      <x:c r="V49" s="13" t="n">
        <x:v>22</x:v>
      </x:c>
      <x:c r="W49" s="11"/>
      <x:c r="X49" s="11" t="str">
        <x:v>Veteran model: 2025 form, prior-year trend and new team pass/run forecast; team pass volume #8, rush volume #22</x:v>
      </x:c>
    </x:row>
    <x:row r="50" ht="19" customHeight="1">
      <x:c r="A50" s="11" t="str">
        <x:v>Available</x:v>
      </x:c>
      <x:c r="B50" s="12" t="n">
        <x:v>45.8</x:v>
      </x:c>
      <x:c r="C50" s="12" t="n">
        <x:f>ROUNDUP(B50/12,0)</x:f>
        <x:v>4</x:v>
      </x:c>
      <x:c r="D50" s="13" t="n">
        <x:v>49</x:v>
      </x:c>
      <x:c r="E50" s="12" t="n">
        <x:f>B50-D50</x:f>
        <x:v>-3.200000000000003</x:v>
      </x:c>
      <x:c r="F50" s="13" t="n">
        <x:v>59</x:v>
      </x:c>
      <x:c r="G50" s="12" t="n">
        <x:f>B50-F50</x:f>
        <x:v>-13.200000000000003</x:v>
      </x:c>
      <x:c r="H50" s="11" t="str">
        <x:v>Fair</x:v>
      </x:c>
      <x:c r="I50" s="11" t="str">
        <x:v>Garrett Wilson</x:v>
      </x:c>
      <x:c r="J50" s="11" t="str">
        <x:v>WR</x:v>
      </x:c>
      <x:c r="K50" s="13" t="n">
        <x:v>20</x:v>
      </x:c>
      <x:c r="L50" s="13" t="str">
        <x:v>NYJ</x:v>
      </x:c>
      <x:c r="M50" s="13" t="n">
        <x:v>13</x:v>
      </x:c>
      <x:c r="N50" s="12" t="n">
        <x:v>203.5</x:v>
      </x:c>
      <x:c r="O50" s="12" t="n">
        <x:v>225</x:v>
      </x:c>
      <x:c r="P50" s="12" t="n">
        <x:f>N50-O50</x:f>
        <x:v>-21.5</x:v>
      </x:c>
      <x:c r="Q50" s="12" t="n">
        <x:v>214.3</x:v>
      </x:c>
      <x:c r="R50" s="12" t="n">
        <x:v>10.4</x:v>
      </x:c>
      <x:c r="S50" s="12" t="n">
        <x:v>19.9</x:v>
      </x:c>
      <x:c r="T50" s="11" t="str">
        <x:v>Medium</x:v>
      </x:c>
      <x:c r="U50" s="13" t="n">
        <x:v>20</x:v>
      </x:c>
      <x:c r="V50" s="13" t="n">
        <x:v>28</x:v>
      </x:c>
      <x:c r="W50" s="11"/>
      <x:c r="X50" s="11" t="str">
        <x:v>Veteran model: 2025 form, prior-year trend and same team pass/run forecast; team pass volume #20, rush volume #28</x:v>
      </x:c>
    </x:row>
    <x:row r="51" ht="19" customHeight="1">
      <x:c r="A51" s="11" t="str">
        <x:v>Available</x:v>
      </x:c>
      <x:c r="B51" s="12" t="n">
        <x:v>46</x:v>
      </x:c>
      <x:c r="C51" s="12" t="n">
        <x:f>ROUNDUP(B51/12,0)</x:f>
        <x:v>4</x:v>
      </x:c>
      <x:c r="D51" s="13" t="n">
        <x:v>44</x:v>
      </x:c>
      <x:c r="E51" s="12" t="n">
        <x:f>B51-D51</x:f>
        <x:v>2</x:v>
      </x:c>
      <x:c r="F51" s="13" t="n">
        <x:v>82</x:v>
      </x:c>
      <x:c r="G51" s="12" t="n">
        <x:f>B51-F51</x:f>
        <x:v>-36</x:v>
      </x:c>
      <x:c r="H51" s="11" t="str">
        <x:v>Fair</x:v>
      </x:c>
      <x:c r="I51" s="11" t="str">
        <x:v>Tyler Warren</x:v>
      </x:c>
      <x:c r="J51" s="11" t="str">
        <x:v>TE</x:v>
      </x:c>
      <x:c r="K51" s="13" t="n">
        <x:v>5</x:v>
      </x:c>
      <x:c r="L51" s="13" t="str">
        <x:v>IND</x:v>
      </x:c>
      <x:c r="M51" s="13" t="n">
        <x:v>13</x:v>
      </x:c>
      <x:c r="N51" s="12" t="n">
        <x:v>159.9</x:v>
      </x:c>
      <x:c r="O51" s="12" t="n">
        <x:v>201</x:v>
      </x:c>
      <x:c r="P51" s="12" t="n">
        <x:f>N51-O51</x:f>
        <x:v>-41.099999999999994</x:v>
      </x:c>
      <x:c r="Q51" s="12" t="n">
        <x:v>180.4</x:v>
      </x:c>
      <x:c r="R51" s="12" t="n">
        <x:v>16.2</x:v>
      </x:c>
      <x:c r="S51" s="12" t="n">
        <x:v>25.9</x:v>
      </x:c>
      <x:c r="T51" s="11" t="str">
        <x:v>Medium</x:v>
      </x:c>
      <x:c r="U51" s="13" t="n">
        <x:v>21</x:v>
      </x:c>
      <x:c r="V51" s="13" t="n">
        <x:v>13</x:v>
      </x:c>
      <x:c r="W51" s="11" t="str">
        <x:v>Ques</x:v>
      </x:c>
      <x:c r="X51" s="11" t="str">
        <x:v>Veteran model: 2025 form, prior-year trend and same team pass/run forecast; team pass volume #21, rush volume #13</x:v>
      </x:c>
    </x:row>
    <x:row r="52" ht="19" customHeight="1">
      <x:c r="A52" s="11" t="str">
        <x:v>Available</x:v>
      </x:c>
      <x:c r="B52" s="12" t="n">
        <x:v>47.7</x:v>
      </x:c>
      <x:c r="C52" s="12" t="n">
        <x:f>ROUNDUP(B52/12,0)</x:f>
        <x:v>4</x:v>
      </x:c>
      <x:c r="D52" s="13" t="n">
        <x:v>55</x:v>
      </x:c>
      <x:c r="E52" s="12" t="n">
        <x:f>B52-D52</x:f>
        <x:v>-7.299999999999997</x:v>
      </x:c>
      <x:c r="F52" s="13" t="n">
        <x:v>73</x:v>
      </x:c>
      <x:c r="G52" s="12" t="n">
        <x:f>B52-F52</x:f>
        <x:v>-25.299999999999997</x:v>
      </x:c>
      <x:c r="H52" s="11" t="str">
        <x:v>Slight reach</x:v>
      </x:c>
      <x:c r="I52" s="11" t="str">
        <x:v>Jaylen Waddle</x:v>
      </x:c>
      <x:c r="J52" s="11" t="str">
        <x:v>WR</x:v>
      </x:c>
      <x:c r="K52" s="13" t="n">
        <x:v>24</x:v>
      </x:c>
      <x:c r="L52" s="13" t="str">
        <x:v>DEN</x:v>
      </x:c>
      <x:c r="M52" s="13" t="n">
        <x:v>10</x:v>
      </x:c>
      <x:c r="N52" s="12" t="n">
        <x:v>186</x:v>
      </x:c>
      <x:c r="O52" s="12" t="n">
        <x:v>221</x:v>
      </x:c>
      <x:c r="P52" s="12" t="n">
        <x:f>N52-O52</x:f>
        <x:v>-35</x:v>
      </x:c>
      <x:c r="Q52" s="12" t="n">
        <x:v>198.2</x:v>
      </x:c>
      <x:c r="R52" s="12" t="n">
        <x:v>14.9</x:v>
      </x:c>
      <x:c r="S52" s="12" t="n">
        <x:v>14.4</x:v>
      </x:c>
      <x:c r="T52" s="11" t="str">
        <x:v>High</x:v>
      </x:c>
      <x:c r="U52" s="13" t="n">
        <x:v>6</x:v>
      </x:c>
      <x:c r="V52" s="13" t="n">
        <x:v>19</x:v>
      </x:c>
      <x:c r="W52" s="11"/>
      <x:c r="X52" s="11" t="str">
        <x:v>Veteran model: 2025 form, prior-year trend and new team pass/run forecast; team pass volume #6, rush volume #19</x:v>
      </x:c>
    </x:row>
    <x:row r="53" ht="19" customHeight="1">
      <x:c r="A53" s="11" t="str">
        <x:v>Available</x:v>
      </x:c>
      <x:c r="B53" s="12" t="n">
        <x:v>48.1</x:v>
      </x:c>
      <x:c r="C53" s="12" t="n">
        <x:f>ROUNDUP(B53/12,0)</x:f>
        <x:v>5</x:v>
      </x:c>
      <x:c r="D53" s="13" t="n">
        <x:v>35</x:v>
      </x:c>
      <x:c r="E53" s="12" t="n">
        <x:f>B53-D53</x:f>
        <x:v>13.100000000000001</x:v>
      </x:c>
      <x:c r="F53" s="13" t="n">
        <x:v>29</x:v>
      </x:c>
      <x:c r="G53" s="12" t="n">
        <x:f>B53-F53</x:f>
        <x:v>19.1</x:v>
      </x:c>
      <x:c r="H53" s="11" t="str">
        <x:v>Value</x:v>
      </x:c>
      <x:c r="I53" s="11" t="str">
        <x:v>Drake Maye</x:v>
      </x:c>
      <x:c r="J53" s="11" t="str">
        <x:v>QB</x:v>
      </x:c>
      <x:c r="K53" s="13" t="n">
        <x:v>2</x:v>
      </x:c>
      <x:c r="L53" s="13" t="str">
        <x:v>NE</x:v>
      </x:c>
      <x:c r="M53" s="13" t="n">
        <x:v>11</x:v>
      </x:c>
      <x:c r="N53" s="12" t="n">
        <x:v>323.5</x:v>
      </x:c>
      <x:c r="O53" s="12" t="n">
        <x:v>321</x:v>
      </x:c>
      <x:c r="P53" s="12" t="n">
        <x:f>N53-O53</x:f>
        <x:v>2.5</x:v>
      </x:c>
      <x:c r="Q53" s="12" t="n">
        <x:v>322.7</x:v>
      </x:c>
      <x:c r="R53" s="12" t="n">
        <x:v>14.9</x:v>
      </x:c>
      <x:c r="S53" s="12" t="n">
        <x:v>32</x:v>
      </x:c>
      <x:c r="T53" s="11" t="str">
        <x:v>High</x:v>
      </x:c>
      <x:c r="U53" s="13" t="n">
        <x:v>27</x:v>
      </x:c>
      <x:c r="V53" s="13" t="n">
        <x:v>12</x:v>
      </x:c>
      <x:c r="W53" s="11"/>
      <x:c r="X53" s="11" t="str">
        <x:v>Veteran model: 2025 form, prior-year trend and same team pass/run forecast; team pass volume #27, rush volume #12</x:v>
      </x:c>
    </x:row>
    <x:row r="54" ht="19" customHeight="1">
      <x:c r="A54" s="11" t="str">
        <x:v>Available</x:v>
      </x:c>
      <x:c r="B54" s="12" t="n">
        <x:v>48.2</x:v>
      </x:c>
      <x:c r="C54" s="12" t="n">
        <x:f>ROUNDUP(B54/12,0)</x:f>
        <x:v>5</x:v>
      </x:c>
      <x:c r="D54" s="13" t="n">
        <x:v>54</x:v>
      </x:c>
      <x:c r="E54" s="12" t="n">
        <x:f>B54-D54</x:f>
        <x:v>-5.799999999999997</x:v>
      </x:c>
      <x:c r="F54" s="13" t="n">
        <x:v>47</x:v>
      </x:c>
      <x:c r="G54" s="12" t="n">
        <x:f>B54-F54</x:f>
        <x:v>1.2000000000000028</x:v>
      </x:c>
      <x:c r="H54" s="11" t="str">
        <x:v>Fair</x:v>
      </x:c>
      <x:c r="I54" s="11" t="str">
        <x:v>Davante Adams</x:v>
      </x:c>
      <x:c r="J54" s="11" t="str">
        <x:v>WR</x:v>
      </x:c>
      <x:c r="K54" s="13" t="n">
        <x:v>22</x:v>
      </x:c>
      <x:c r="L54" s="13" t="str">
        <x:v>LAR</x:v>
      </x:c>
      <x:c r="M54" s="13" t="n">
        <x:v>11</x:v>
      </x:c>
      <x:c r="N54" s="12" t="n">
        <x:v>209.8</x:v>
      </x:c>
      <x:c r="O54" s="12" t="n">
        <x:v>193</x:v>
      </x:c>
      <x:c r="P54" s="12" t="n">
        <x:f>N54-O54</x:f>
        <x:v>16.80000000000001</x:v>
      </x:c>
      <x:c r="Q54" s="12" t="n">
        <x:v>204</x:v>
      </x:c>
      <x:c r="R54" s="12" t="n">
        <x:v>11.1</x:v>
      </x:c>
      <x:c r="S54" s="12" t="n">
        <x:v>14.5</x:v>
      </x:c>
      <x:c r="T54" s="11" t="str">
        <x:v>High</x:v>
      </x:c>
      <x:c r="U54" s="13" t="n">
        <x:v>7</x:v>
      </x:c>
      <x:c r="V54" s="13" t="n">
        <x:v>14</x:v>
      </x:c>
      <x:c r="W54" s="11"/>
      <x:c r="X54" s="11" t="str">
        <x:v>Veteran model: 2025 form, prior-year trend and same team pass/run forecast; team pass volume #7, rush volume #14</x:v>
      </x:c>
    </x:row>
    <x:row r="55" ht="19" customHeight="1">
      <x:c r="A55" s="11" t="str">
        <x:v>Available</x:v>
      </x:c>
      <x:c r="B55" s="12" t="n">
        <x:v>50.1</x:v>
      </x:c>
      <x:c r="C55" s="12" t="n">
        <x:f>ROUNDUP(B55/12,0)</x:f>
        <x:v>5</x:v>
      </x:c>
      <x:c r="D55" s="13" t="n">
        <x:v>89</x:v>
      </x:c>
      <x:c r="E55" s="12" t="n">
        <x:f>B55-D55</x:f>
        <x:v>-38.9</x:v>
      </x:c>
      <x:c r="F55" s="13" t="n">
        <x:v>147</x:v>
      </x:c>
      <x:c r="G55" s="12" t="n">
        <x:f>B55-F55</x:f>
        <x:v>-96.9</x:v>
      </x:c>
      <x:c r="H55" s="11" t="str">
        <x:v>Depth</x:v>
      </x:c>
      <x:c r="I55" s="11" t="str">
        <x:v>Luther Burden</x:v>
      </x:c>
      <x:c r="J55" s="11" t="str">
        <x:v>WR</x:v>
      </x:c>
      <x:c r="K55" s="13" t="n">
        <x:v>38</x:v>
      </x:c>
      <x:c r="L55" s="13" t="str">
        <x:v>CHI</x:v>
      </x:c>
      <x:c r="M55" s="13" t="n">
        <x:v>10</x:v>
      </x:c>
      <x:c r="N55" s="12" t="n">
        <x:v>150.3</x:v>
      </x:c>
      <x:c r="O55" s="12" t="n">
        <x:v>209</x:v>
      </x:c>
      <x:c r="P55" s="12" t="n">
        <x:f>N55-O55</x:f>
        <x:v>-58.69999999999999</x:v>
      </x:c>
      <x:c r="Q55" s="12" t="n">
        <x:v>179.6</x:v>
      </x:c>
      <x:c r="R55" s="12" t="n">
        <x:v>13.1</x:v>
      </x:c>
      <x:c r="S55" s="12" t="n">
        <x:v>-1.7</x:v>
      </x:c>
      <x:c r="T55" s="11" t="str">
        <x:v>Medium</x:v>
      </x:c>
      <x:c r="U55" s="13" t="n">
        <x:v>13</x:v>
      </x:c>
      <x:c r="V55" s="13" t="n">
        <x:v>6</x:v>
      </x:c>
      <x:c r="W55" s="11" t="str">
        <x:v>Ques</x:v>
      </x:c>
      <x:c r="X55" s="11" t="str">
        <x:v>Veteran model: 2025 form, prior-year trend and same team pass/run forecast; team pass volume #13, rush volume #6</x:v>
      </x:c>
    </x:row>
    <x:row r="56" ht="19" customHeight="1">
      <x:c r="A56" s="11" t="str">
        <x:v>Available</x:v>
      </x:c>
      <x:c r="B56" s="12" t="n">
        <x:v>51.4</x:v>
      </x:c>
      <x:c r="C56" s="12" t="n">
        <x:f>ROUNDUP(B56/12,0)</x:f>
        <x:v>5</x:v>
      </x:c>
      <x:c r="D56" s="13" t="n">
        <x:v>114</x:v>
      </x:c>
      <x:c r="E56" s="12" t="n">
        <x:f>B56-D56</x:f>
        <x:v>-62.6</x:v>
      </x:c>
      <x:c r="F56" s="13" t="n">
        <x:v>171</x:v>
      </x:c>
      <x:c r="G56" s="12" t="n">
        <x:f>B56-F56</x:f>
        <x:v>-119.6</x:v>
      </x:c>
      <x:c r="H56" s="11" t="str">
        <x:v>Depth</x:v>
      </x:c>
      <x:c r="I56" s="11" t="str">
        <x:v>David Montgomery</x:v>
      </x:c>
      <x:c r="J56" s="11" t="str">
        <x:v>RB</x:v>
      </x:c>
      <x:c r="K56" s="13" t="n">
        <x:v>31</x:v>
      </x:c>
      <x:c r="L56" s="13" t="str">
        <x:v>HOU</x:v>
      </x:c>
      <x:c r="M56" s="13" t="n">
        <x:v>8</x:v>
      </x:c>
      <x:c r="N56" s="12" t="n">
        <x:v>139.3</x:v>
      </x:c>
      <x:c r="O56" s="12" t="n">
        <x:v>206</x:v>
      </x:c>
      <x:c r="P56" s="12" t="n">
        <x:f>N56-O56</x:f>
        <x:v>-66.69999999999999</x:v>
      </x:c>
      <x:c r="Q56" s="12" t="n">
        <x:v>162.6</x:v>
      </x:c>
      <x:c r="R56" s="12" t="n">
        <x:v>13.4</x:v>
      </x:c>
      <x:c r="S56" s="12" t="n">
        <x:v>-11.8</x:v>
      </x:c>
      <x:c r="T56" s="11" t="str">
        <x:v>High</x:v>
      </x:c>
      <x:c r="U56" s="13" t="n">
        <x:v>9</x:v>
      </x:c>
      <x:c r="V56" s="13" t="n">
        <x:v>17</x:v>
      </x:c>
      <x:c r="W56" s="11"/>
      <x:c r="X56" s="11" t="str">
        <x:v>Veteran model: 2025 form, prior-year trend and new team pass/run forecast; team pass volume #9, rush volume #17</x:v>
      </x:c>
    </x:row>
    <x:row r="57" ht="19" customHeight="1">
      <x:c r="A57" s="11" t="str">
        <x:v>Available</x:v>
      </x:c>
      <x:c r="B57" s="12" t="n">
        <x:v>52.2</x:v>
      </x:c>
      <x:c r="C57" s="12" t="n">
        <x:f>ROUNDUP(B57/12,0)</x:f>
        <x:v>5</x:v>
      </x:c>
      <x:c r="D57" s="13" t="n">
        <x:v>69</x:v>
      </x:c>
      <x:c r="E57" s="12" t="n">
        <x:f>B57-D57</x:f>
        <x:v>-16.799999999999997</x:v>
      </x:c>
      <x:c r="F57" s="13" t="n">
        <x:v>49</x:v>
      </x:c>
      <x:c r="G57" s="12" t="n">
        <x:f>B57-F57</x:f>
        <x:v>3.200000000000003</x:v>
      </x:c>
      <x:c r="H57" s="11" t="str">
        <x:v>Pricey</x:v>
      </x:c>
      <x:c r="I57" s="11" t="str">
        <x:v>TreVeyon Henderson</x:v>
      </x:c>
      <x:c r="J57" s="11" t="str">
        <x:v>RB</x:v>
      </x:c>
      <x:c r="K57" s="13" t="n">
        <x:v>23</x:v>
      </x:c>
      <x:c r="L57" s="13" t="str">
        <x:v>NE</x:v>
      </x:c>
      <x:c r="M57" s="13" t="n">
        <x:v>11</x:v>
      </x:c>
      <x:c r="N57" s="12" t="n">
        <x:v>204</x:v>
      </x:c>
      <x:c r="O57" s="12" t="n">
        <x:v>171</x:v>
      </x:c>
      <x:c r="P57" s="12" t="n">
        <x:f>N57-O57</x:f>
        <x:v>33</x:v>
      </x:c>
      <x:c r="Q57" s="12" t="n">
        <x:v>187.5</x:v>
      </x:c>
      <x:c r="R57" s="12" t="n">
        <x:v>13.6</x:v>
      </x:c>
      <x:c r="S57" s="12" t="n">
        <x:v>7.9</x:v>
      </x:c>
      <x:c r="T57" s="11" t="str">
        <x:v>Medium</x:v>
      </x:c>
      <x:c r="U57" s="13" t="n">
        <x:v>27</x:v>
      </x:c>
      <x:c r="V57" s="13" t="n">
        <x:v>12</x:v>
      </x:c>
      <x:c r="W57" s="11"/>
      <x:c r="X57" s="11" t="str">
        <x:v>Veteran model: 2025 form, prior-year trend and same team pass/run forecast; team pass volume #27, rush volume #12</x:v>
      </x:c>
    </x:row>
    <x:row r="58" ht="19" customHeight="1">
      <x:c r="A58" s="11" t="str">
        <x:v>Available</x:v>
      </x:c>
      <x:c r="B58" s="12" t="n">
        <x:v>53.2</x:v>
      </x:c>
      <x:c r="C58" s="12" t="n">
        <x:f>ROUNDUP(B58/12,0)</x:f>
        <x:v>5</x:v>
      </x:c>
      <x:c r="D58" s="13" t="n">
        <x:v>51</x:v>
      </x:c>
      <x:c r="E58" s="12" t="n">
        <x:f>B58-D58</x:f>
        <x:v>2.200000000000003</x:v>
      </x:c>
      <x:c r="F58" s="13" t="n">
        <x:v>50</x:v>
      </x:c>
      <x:c r="G58" s="12" t="n">
        <x:f>B58-F58</x:f>
        <x:v>3.200000000000003</x:v>
      </x:c>
      <x:c r="H58" s="11" t="str">
        <x:v>Fair</x:v>
      </x:c>
      <x:c r="I58" s="11" t="str">
        <x:v>Quinshon Judkins</x:v>
      </x:c>
      <x:c r="J58" s="11" t="str">
        <x:v>RB</x:v>
      </x:c>
      <x:c r="K58" s="13" t="n">
        <x:v>22</x:v>
      </x:c>
      <x:c r="L58" s="13" t="str">
        <x:v>CLE</x:v>
      </x:c>
      <x:c r="M58" s="13" t="n">
        <x:v>11</x:v>
      </x:c>
      <x:c r="N58" s="12" t="n">
        <x:v>204</x:v>
      </x:c>
      <x:c r="O58" s="12" t="n">
        <x:v>196</x:v>
      </x:c>
      <x:c r="P58" s="12" t="n">
        <x:f>N58-O58</x:f>
        <x:v>8</x:v>
      </x:c>
      <x:c r="Q58" s="12" t="n">
        <x:v>200</x:v>
      </x:c>
      <x:c r="R58" s="12" t="n">
        <x:v>12.9</x:v>
      </x:c>
      <x:c r="S58" s="12" t="n">
        <x:v>17</x:v>
      </x:c>
      <x:c r="T58" s="11" t="str">
        <x:v>Medium</x:v>
      </x:c>
      <x:c r="U58" s="13" t="n">
        <x:v>4</x:v>
      </x:c>
      <x:c r="V58" s="13" t="n">
        <x:v>26</x:v>
      </x:c>
      <x:c r="W58" s="11" t="str">
        <x:v>Ques</x:v>
      </x:c>
      <x:c r="X58" s="11" t="str">
        <x:v>Veteran model: 2025 form, prior-year trend and same team pass/run forecast; team pass volume #4, rush volume #26</x:v>
      </x:c>
    </x:row>
    <x:row r="59" ht="19" customHeight="1">
      <x:c r="A59" s="11" t="str">
        <x:v>Available</x:v>
      </x:c>
      <x:c r="B59" s="12" t="n">
        <x:v>54</x:v>
      </x:c>
      <x:c r="C59" s="12" t="n">
        <x:f>ROUNDUP(B59/12,0)</x:f>
        <x:v>5</x:v>
      </x:c>
      <x:c r="D59" s="13" t="n">
        <x:v>82</x:v>
      </x:c>
      <x:c r="E59" s="12" t="n">
        <x:f>B59-D59</x:f>
        <x:v>-28</x:v>
      </x:c>
      <x:c r="F59" s="13" t="n">
        <x:v>95</x:v>
      </x:c>
      <x:c r="G59" s="12" t="n">
        <x:f>B59-F59</x:f>
        <x:v>-41</x:v>
      </x:c>
      <x:c r="H59" s="11" t="str">
        <x:v>Pricey</x:v>
      </x:c>
      <x:c r="I59" s="11" t="str">
        <x:v>Joe Burrow</x:v>
      </x:c>
      <x:c r="J59" s="11" t="str">
        <x:v>QB</x:v>
      </x:c>
      <x:c r="K59" s="13" t="n">
        <x:v>12</x:v>
      </x:c>
      <x:c r="L59" s="13" t="str">
        <x:v>CIN</x:v>
      </x:c>
      <x:c r="M59" s="13" t="n">
        <x:v>6</x:v>
      </x:c>
      <x:c r="N59" s="12" t="n">
        <x:v>274.2</x:v>
      </x:c>
      <x:c r="O59" s="12" t="n">
        <x:v>306</x:v>
      </x:c>
      <x:c r="P59" s="12" t="n">
        <x:f>N59-O59</x:f>
        <x:v>-31.80000000000001</x:v>
      </x:c>
      <x:c r="Q59" s="12" t="n">
        <x:v>290.1</x:v>
      </x:c>
      <x:c r="R59" s="12" t="n">
        <x:v>12.4</x:v>
      </x:c>
      <x:c r="S59" s="12" t="n">
        <x:v>2.8</x:v>
      </x:c>
      <x:c r="T59" s="11" t="str">
        <x:v>Medium</x:v>
      </x:c>
      <x:c r="U59" s="13" t="n">
        <x:v>1</x:v>
      </x:c>
      <x:c r="V59" s="13" t="n">
        <x:v>31</x:v>
      </x:c>
      <x:c r="W59" s="11"/>
      <x:c r="X59" s="11" t="str">
        <x:v>Veteran model: 2025 form, prior-year trend and same team pass/run forecast; team pass volume #1, rush volume #31</x:v>
      </x:c>
    </x:row>
    <x:row r="60" ht="19" customHeight="1">
      <x:c r="A60" s="11" t="str">
        <x:v>Available</x:v>
      </x:c>
      <x:c r="B60" s="12" t="n">
        <x:v>55.1</x:v>
      </x:c>
      <x:c r="C60" s="12" t="n">
        <x:f>ROUNDUP(B60/12,0)</x:f>
        <x:v>5</x:v>
      </x:c>
      <x:c r="D60" s="13" t="n">
        <x:v>39</x:v>
      </x:c>
      <x:c r="E60" s="12" t="n">
        <x:f>B60-D60</x:f>
        <x:v>16.1</x:v>
      </x:c>
      <x:c r="F60" s="13" t="n">
        <x:v>37</x:v>
      </x:c>
      <x:c r="G60" s="12" t="n">
        <x:f>B60-F60</x:f>
        <x:v>18.1</x:v>
      </x:c>
      <x:c r="H60" s="11" t="str">
        <x:v>Target</x:v>
      </x:c>
      <x:c r="I60" s="11" t="str">
        <x:v>D'Andre Swift</x:v>
      </x:c>
      <x:c r="J60" s="11" t="str">
        <x:v>RB</x:v>
      </x:c>
      <x:c r="K60" s="13" t="n">
        <x:v>17</x:v>
      </x:c>
      <x:c r="L60" s="13" t="str">
        <x:v>CHI</x:v>
      </x:c>
      <x:c r="M60" s="13" t="n">
        <x:v>10</x:v>
      </x:c>
      <x:c r="N60" s="12" t="n">
        <x:v>219.1</x:v>
      </x:c>
      <x:c r="O60" s="12" t="n">
        <x:v>208</x:v>
      </x:c>
      <x:c r="P60" s="12" t="n">
        <x:f>N60-O60</x:f>
        <x:v>11.099999999999994</x:v>
      </x:c>
      <x:c r="Q60" s="12" t="n">
        <x:v>215.2</x:v>
      </x:c>
      <x:c r="R60" s="12" t="n">
        <x:v>13.1</x:v>
      </x:c>
      <x:c r="S60" s="12" t="n">
        <x:v>29</x:v>
      </x:c>
      <x:c r="T60" s="11" t="str">
        <x:v>High</x:v>
      </x:c>
      <x:c r="U60" s="13" t="n">
        <x:v>13</x:v>
      </x:c>
      <x:c r="V60" s="13" t="n">
        <x:v>6</x:v>
      </x:c>
      <x:c r="W60" s="11"/>
      <x:c r="X60" s="11" t="str">
        <x:v>Veteran model: 2025 form, prior-year trend and same team pass/run forecast; team pass volume #13, rush volume #6</x:v>
      </x:c>
    </x:row>
    <x:row r="61" ht="19" customHeight="1">
      <x:c r="A61" s="11" t="str">
        <x:v>Available</x:v>
      </x:c>
      <x:c r="B61" s="12" t="n">
        <x:v>55.9</x:v>
      </x:c>
      <x:c r="C61" s="12" t="n">
        <x:f>ROUNDUP(B61/12,0)</x:f>
        <x:v>5</x:v>
      </x:c>
      <x:c r="D61" s="13" t="n">
        <x:v>73</x:v>
      </x:c>
      <x:c r="E61" s="12" t="n">
        <x:f>B61-D61</x:f>
        <x:v>-17.1</x:v>
      </x:c>
      <x:c r="F61" s="13" t="n">
        <x:v>93</x:v>
      </x:c>
      <x:c r="G61" s="12" t="n">
        <x:f>B61-F61</x:f>
        <x:v>-37.1</x:v>
      </x:c>
      <x:c r="H61" s="11" t="str">
        <x:v>Pricey</x:v>
      </x:c>
      <x:c r="I61" s="11" t="str">
        <x:v>Terry McLaurin</x:v>
      </x:c>
      <x:c r="J61" s="11" t="str">
        <x:v>WR</x:v>
      </x:c>
      <x:c r="K61" s="13" t="n">
        <x:v>29</x:v>
      </x:c>
      <x:c r="L61" s="13" t="str">
        <x:v>WAS</x:v>
      </x:c>
      <x:c r="M61" s="13" t="n">
        <x:v>7</x:v>
      </x:c>
      <x:c r="N61" s="12" t="n">
        <x:v>172.2</x:v>
      </x:c>
      <x:c r="O61" s="12" t="n">
        <x:v>214</x:v>
      </x:c>
      <x:c r="P61" s="12" t="n">
        <x:f>N61-O61</x:f>
        <x:v>-41.80000000000001</x:v>
      </x:c>
      <x:c r="Q61" s="12" t="n">
        <x:v>193.1</x:v>
      </x:c>
      <x:c r="R61" s="12" t="n">
        <x:v>10.4</x:v>
      </x:c>
      <x:c r="S61" s="12" t="n">
        <x:v>6.9</x:v>
      </x:c>
      <x:c r="T61" s="11" t="str">
        <x:v>Medium</x:v>
      </x:c>
      <x:c r="U61" s="13" t="n">
        <x:v>29</x:v>
      </x:c>
      <x:c r="V61" s="13" t="n">
        <x:v>8</x:v>
      </x:c>
      <x:c r="W61" s="11"/>
      <x:c r="X61" s="11" t="str">
        <x:v>Veteran model: 2025 form, prior-year trend and same team pass/run forecast; team pass volume #29, rush volume #8</x:v>
      </x:c>
    </x:row>
    <x:row r="62" ht="19" customHeight="1">
      <x:c r="A62" s="11" t="str">
        <x:v>Available</x:v>
      </x:c>
      <x:c r="B62" s="12" t="n">
        <x:v>57.3</x:v>
      </x:c>
      <x:c r="C62" s="12" t="n">
        <x:f>ROUNDUP(B62/12,0)</x:f>
        <x:v>5</x:v>
      </x:c>
      <x:c r="D62" s="13" t="n">
        <x:v>37</x:v>
      </x:c>
      <x:c r="E62" s="12" t="n">
        <x:f>B62-D62</x:f>
        <x:v>20.299999999999997</x:v>
      </x:c>
      <x:c r="F62" s="13" t="n">
        <x:v>28</x:v>
      </x:c>
      <x:c r="G62" s="12" t="n">
        <x:f>B62-F62</x:f>
        <x:v>29.299999999999997</x:v>
      </x:c>
      <x:c r="H62" s="11" t="str">
        <x:v>Target</x:v>
      </x:c>
      <x:c r="I62" s="11" t="str">
        <x:v>Jameson Williams</x:v>
      </x:c>
      <x:c r="J62" s="11" t="str">
        <x:v>WR</x:v>
      </x:c>
      <x:c r="K62" s="13" t="n">
        <x:v>17</x:v>
      </x:c>
      <x:c r="L62" s="13" t="str">
        <x:v>DET</x:v>
      </x:c>
      <x:c r="M62" s="13" t="n">
        <x:v>6</x:v>
      </x:c>
      <x:c r="N62" s="12" t="n">
        <x:v>223.5</x:v>
      </x:c>
      <x:c r="O62" s="12" t="n">
        <x:v>206</x:v>
      </x:c>
      <x:c r="P62" s="12" t="n">
        <x:f>N62-O62</x:f>
        <x:v>17.5</x:v>
      </x:c>
      <x:c r="Q62" s="12" t="n">
        <x:v>217.4</x:v>
      </x:c>
      <x:c r="R62" s="12" t="n">
        <x:v>14.5</x:v>
      </x:c>
      <x:c r="S62" s="12" t="n">
        <x:v>30.4</x:v>
      </x:c>
      <x:c r="T62" s="11" t="str">
        <x:v>High</x:v>
      </x:c>
      <x:c r="U62" s="13" t="n">
        <x:v>10</x:v>
      </x:c>
      <x:c r="V62" s="13" t="n">
        <x:v>7</x:v>
      </x:c>
      <x:c r="W62" s="11"/>
      <x:c r="X62" s="11" t="str">
        <x:v>Veteran model: 2025 form, prior-year trend and same team pass/run forecast; team pass volume #10, rush volume #7</x:v>
      </x:c>
    </x:row>
    <x:row r="63" ht="19" customHeight="1">
      <x:c r="A63" s="11" t="str">
        <x:v>Available</x:v>
      </x:c>
      <x:c r="B63" s="12" t="n">
        <x:v>58.5</x:v>
      </x:c>
      <x:c r="C63" s="12" t="n">
        <x:f>ROUNDUP(B63/12,0)</x:f>
        <x:v>5</x:v>
      </x:c>
      <x:c r="D63" s="13" t="n">
        <x:v>145</x:v>
      </x:c>
      <x:c r="E63" s="12" t="n">
        <x:f>B63-D63</x:f>
        <x:v>-86.5</x:v>
      </x:c>
      <x:c r="F63" s="13" t="n">
        <x:v>186</x:v>
      </x:c>
      <x:c r="G63" s="12" t="n">
        <x:f>B63-F63</x:f>
        <x:v>-127.5</x:v>
      </x:c>
      <x:c r="H63" s="11" t="str">
        <x:v>Depth</x:v>
      </x:c>
      <x:c r="I63" s="11" t="str">
        <x:v>DJ Moore</x:v>
      </x:c>
      <x:c r="J63" s="11" t="str">
        <x:v>WR</x:v>
      </x:c>
      <x:c r="K63" s="13" t="n">
        <x:v>54</x:v>
      </x:c>
      <x:c r="L63" s="13" t="str">
        <x:v>BUF</x:v>
      </x:c>
      <x:c r="M63" s="13" t="n">
        <x:v>7</x:v>
      </x:c>
      <x:c r="N63" s="12" t="n">
        <x:v>137.5</x:v>
      </x:c>
      <x:c r="O63" s="12" t="n">
        <x:v>179</x:v>
      </x:c>
      <x:c r="P63" s="12" t="n">
        <x:f>N63-O63</x:f>
        <x:v>-41.5</x:v>
      </x:c>
      <x:c r="Q63" s="12" t="n">
        <x:v>152.1</x:v>
      </x:c>
      <x:c r="R63" s="12" t="n">
        <x:v>15</x:v>
      </x:c>
      <x:c r="S63" s="12" t="n">
        <x:v>-26.2</x:v>
      </x:c>
      <x:c r="T63" s="11" t="str">
        <x:v>High</x:v>
      </x:c>
      <x:c r="U63" s="13" t="n">
        <x:v>28</x:v>
      </x:c>
      <x:c r="V63" s="13" t="n">
        <x:v>3</x:v>
      </x:c>
      <x:c r="W63" s="11"/>
      <x:c r="X63" s="11" t="str">
        <x:v>Veteran model: 2025 form, prior-year trend and new team pass/run forecast; team pass volume #28, rush volume #3</x:v>
      </x:c>
    </x:row>
    <x:row r="64" ht="19" customHeight="1">
      <x:c r="A64" s="11" t="str">
        <x:v>Available</x:v>
      </x:c>
      <x:c r="B64" s="12" t="n">
        <x:v>59.5</x:v>
      </x:c>
      <x:c r="C64" s="12" t="n">
        <x:f>ROUNDUP(B64/12,0)</x:f>
        <x:v>5</x:v>
      </x:c>
      <x:c r="D64" s="13" t="n">
        <x:v>80</x:v>
      </x:c>
      <x:c r="E64" s="12" t="n">
        <x:f>B64-D64</x:f>
        <x:v>-20.5</x:v>
      </x:c>
      <x:c r="F64" s="13" t="n">
        <x:v>123</x:v>
      </x:c>
      <x:c r="G64" s="12" t="n">
        <x:f>B64-F64</x:f>
        <x:v>-63.5</x:v>
      </x:c>
      <x:c r="H64" s="11" t="str">
        <x:v>Pricey</x:v>
      </x:c>
      <x:c r="I64" s="11" t="str">
        <x:v>Mike Evans</x:v>
      </x:c>
      <x:c r="J64" s="11" t="str">
        <x:v>WR</x:v>
      </x:c>
      <x:c r="K64" s="13" t="n">
        <x:v>32</x:v>
      </x:c>
      <x:c r="L64" s="13" t="str">
        <x:v>SF</x:v>
      </x:c>
      <x:c r="M64" s="13" t="n">
        <x:v>8</x:v>
      </x:c>
      <x:c r="N64" s="12" t="n">
        <x:v>154.7</x:v>
      </x:c>
      <x:c r="O64" s="12" t="n">
        <x:v>222</x:v>
      </x:c>
      <x:c r="P64" s="12" t="n">
        <x:f>N64-O64</x:f>
        <x:v>-67.30000000000001</x:v>
      </x:c>
      <x:c r="Q64" s="12" t="n">
        <x:v>188.3</x:v>
      </x:c>
      <x:c r="R64" s="12" t="n">
        <x:v>9.7</x:v>
      </x:c>
      <x:c r="S64" s="12" t="n">
        <x:v>3.7</x:v>
      </x:c>
      <x:c r="T64" s="11" t="str">
        <x:v>Medium</x:v>
      </x:c>
      <x:c r="U64" s="13" t="n">
        <x:v>16</x:v>
      </x:c>
      <x:c r="V64" s="13" t="n">
        <x:v>9</x:v>
      </x:c>
      <x:c r="W64" s="11" t="str">
        <x:v>Ques</x:v>
      </x:c>
      <x:c r="X64" s="11" t="str">
        <x:v>Veteran model: 2025 form, prior-year trend and new team pass/run forecast; team pass volume #16, rush volume #9</x:v>
      </x:c>
    </x:row>
    <x:row r="65" ht="19" customHeight="1">
      <x:c r="A65" s="11" t="str">
        <x:v>Available</x:v>
      </x:c>
      <x:c r="B65" s="12" t="n">
        <x:v>60.1</x:v>
      </x:c>
      <x:c r="C65" s="12" t="n">
        <x:f>ROUNDUP(B65/12,0)</x:f>
        <x:v>6</x:v>
      </x:c>
      <x:c r="D65" s="13" t="n">
        <x:v>48</x:v>
      </x:c>
      <x:c r="E65" s="12" t="n">
        <x:f>B65-D65</x:f>
        <x:v>12.100000000000001</x:v>
      </x:c>
      <x:c r="F65" s="13" t="n">
        <x:v>79</x:v>
      </x:c>
      <x:c r="G65" s="12" t="n">
        <x:f>B65-F65</x:f>
        <x:v>-18.9</x:v>
      </x:c>
      <x:c r="H65" s="11" t="str">
        <x:v>Value</x:v>
      </x:c>
      <x:c r="I65" s="11" t="str">
        <x:v>Sam LaPorta</x:v>
      </x:c>
      <x:c r="J65" s="11" t="str">
        <x:v>TE</x:v>
      </x:c>
      <x:c r="K65" s="13" t="n">
        <x:v>6</x:v>
      </x:c>
      <x:c r="L65" s="13" t="str">
        <x:v>DET</x:v>
      </x:c>
      <x:c r="M65" s="13" t="n">
        <x:v>6</x:v>
      </x:c>
      <x:c r="N65" s="12" t="n">
        <x:v>162.6</x:v>
      </x:c>
      <x:c r="O65" s="12" t="n">
        <x:v>197</x:v>
      </x:c>
      <x:c r="P65" s="12" t="n">
        <x:f>N65-O65</x:f>
        <x:v>-34.400000000000006</x:v>
      </x:c>
      <x:c r="Q65" s="12" t="n">
        <x:v>179.8</x:v>
      </x:c>
      <x:c r="R65" s="12" t="n">
        <x:v>13.6</x:v>
      </x:c>
      <x:c r="S65" s="12" t="n">
        <x:v>21.3</x:v>
      </x:c>
      <x:c r="T65" s="11" t="str">
        <x:v>Medium</x:v>
      </x:c>
      <x:c r="U65" s="13" t="n">
        <x:v>10</x:v>
      </x:c>
      <x:c r="V65" s="13" t="n">
        <x:v>7</x:v>
      </x:c>
      <x:c r="W65" s="11" t="str">
        <x:v>Ques</x:v>
      </x:c>
      <x:c r="X65" s="11" t="str">
        <x:v>Veteran model: 2025 form, prior-year trend and same team pass/run forecast; team pass volume #10, rush volume #7</x:v>
      </x:c>
    </x:row>
    <x:row r="66" ht="19" customHeight="1">
      <x:c r="A66" s="11" t="str">
        <x:v>Available</x:v>
      </x:c>
      <x:c r="B66" s="12" t="n">
        <x:v>61.1</x:v>
      </x:c>
      <x:c r="C66" s="12" t="n">
        <x:f>ROUNDUP(B66/12,0)</x:f>
        <x:v>6</x:v>
      </x:c>
      <x:c r="D66" s="13" t="n">
        <x:v>127</x:v>
      </x:c>
      <x:c r="E66" s="12" t="n">
        <x:f>B66-D66</x:f>
        <x:v>-65.9</x:v>
      </x:c>
      <x:c r="F66" s="13" t="n">
        <x:v>181</x:v>
      </x:c>
      <x:c r="G66" s="12" t="n">
        <x:f>B66-F66</x:f>
        <x:v>-119.9</x:v>
      </x:c>
      <x:c r="H66" s="11" t="str">
        <x:v>Depth</x:v>
      </x:c>
      <x:c r="I66" s="11" t="str">
        <x:v>Bhayshul Tuten</x:v>
      </x:c>
      <x:c r="J66" s="11" t="str">
        <x:v>RB</x:v>
      </x:c>
      <x:c r="K66" s="13" t="n">
        <x:v>36</x:v>
      </x:c>
      <x:c r="L66" s="13" t="str">
        <x:v>JAX</x:v>
      </x:c>
      <x:c r="M66" s="13" t="n">
        <x:v>7</x:v>
      </x:c>
      <x:c r="N66" s="12" t="n">
        <x:v>124.6</x:v>
      </x:c>
      <x:c r="O66" s="12" t="n">
        <x:v>175</x:v>
      </x:c>
      <x:c r="P66" s="12" t="n">
        <x:f>N66-O66</x:f>
        <x:v>-50.400000000000006</x:v>
      </x:c>
      <x:c r="Q66" s="12" t="n">
        <x:v>149.8</x:v>
      </x:c>
      <x:c r="R66" s="12" t="n">
        <x:v>11</x:v>
      </x:c>
      <x:c r="S66" s="12" t="n">
        <x:v>-18</x:v>
      </x:c>
      <x:c r="T66" s="11" t="str">
        <x:v>Medium</x:v>
      </x:c>
      <x:c r="U66" s="13" t="n">
        <x:v>11</x:v>
      </x:c>
      <x:c r="V66" s="13" t="n">
        <x:v>15</x:v>
      </x:c>
      <x:c r="W66" s="11"/>
      <x:c r="X66" s="11" t="str">
        <x:v>Veteran model: 2025 form, prior-year trend and same team pass/run forecast; team pass volume #11, rush volume #15</x:v>
      </x:c>
    </x:row>
    <x:row r="67" ht="19" customHeight="1">
      <x:c r="A67" s="11" t="str">
        <x:v>Available</x:v>
      </x:c>
      <x:c r="B67" s="12" t="n">
        <x:v>62.5</x:v>
      </x:c>
      <x:c r="C67" s="12" t="n">
        <x:f>ROUNDUP(B67/12,0)</x:f>
        <x:v>6</x:v>
      </x:c>
      <x:c r="D67" s="13" t="n">
        <x:v>72</x:v>
      </x:c>
      <x:c r="E67" s="12" t="n">
        <x:f>B67-D67</x:f>
        <x:v>-9.5</x:v>
      </x:c>
      <x:c r="F67" s="13" t="n">
        <x:v>78</x:v>
      </x:c>
      <x:c r="G67" s="12" t="n">
        <x:f>B67-F67</x:f>
        <x:v>-15.5</x:v>
      </x:c>
      <x:c r="H67" s="11" t="str">
        <x:v>Slight reach</x:v>
      </x:c>
      <x:c r="I67" s="11" t="str">
        <x:v>Jayden Daniels</x:v>
      </x:c>
      <x:c r="J67" s="11" t="str">
        <x:v>QB</x:v>
      </x:c>
      <x:c r="K67" s="13" t="n">
        <x:v>7</x:v>
      </x:c>
      <x:c r="L67" s="13" t="str">
        <x:v>WAS</x:v>
      </x:c>
      <x:c r="M67" s="13" t="n">
        <x:v>7</x:v>
      </x:c>
      <x:c r="N67" s="12" t="n">
        <x:v>287</x:v>
      </x:c>
      <x:c r="O67" s="12" t="n">
        <x:v>309</x:v>
      </x:c>
      <x:c r="P67" s="12" t="n">
        <x:f>N67-O67</x:f>
        <x:v>-22</x:v>
      </x:c>
      <x:c r="Q67" s="12" t="n">
        <x:v>298</x:v>
      </x:c>
      <x:c r="R67" s="12" t="n">
        <x:v>10.9</x:v>
      </x:c>
      <x:c r="S67" s="12" t="n">
        <x:v>7.6</x:v>
      </x:c>
      <x:c r="T67" s="11" t="str">
        <x:v>Medium</x:v>
      </x:c>
      <x:c r="U67" s="13" t="n">
        <x:v>29</x:v>
      </x:c>
      <x:c r="V67" s="13" t="n">
        <x:v>8</x:v>
      </x:c>
      <x:c r="W67" s="11"/>
      <x:c r="X67" s="11" t="str">
        <x:v>Veteran model: 2025 form, prior-year trend and same team pass/run forecast; team pass volume #29, rush volume #8</x:v>
      </x:c>
    </x:row>
    <x:row r="68" ht="19" customHeight="1">
      <x:c r="A68" s="11" t="str">
        <x:v>Available</x:v>
      </x:c>
      <x:c r="B68" s="12" t="n">
        <x:v>62.9</x:v>
      </x:c>
      <x:c r="C68" s="12" t="n">
        <x:f>ROUNDUP(B68/12,0)</x:f>
        <x:v>6</x:v>
      </x:c>
      <x:c r="D68" s="13" t="n">
        <x:v>56</x:v>
      </x:c>
      <x:c r="E68" s="12" t="n">
        <x:f>B68-D68</x:f>
        <x:v>6.899999999999999</x:v>
      </x:c>
      <x:c r="F68" s="13" t="n">
        <x:v>57</x:v>
      </x:c>
      <x:c r="G68" s="12" t="n">
        <x:f>B68-F68</x:f>
        <x:v>5.899999999999999</x:v>
      </x:c>
      <x:c r="H68" s="11" t="str">
        <x:v>Fair</x:v>
      </x:c>
      <x:c r="I68" s="11" t="str">
        <x:v>Jalen Hurts</x:v>
      </x:c>
      <x:c r="J68" s="11" t="str">
        <x:v>QB</x:v>
      </x:c>
      <x:c r="K68" s="13" t="n">
        <x:v>4</x:v>
      </x:c>
      <x:c r="L68" s="13" t="str">
        <x:v>PHI</x:v>
      </x:c>
      <x:c r="M68" s="13" t="n">
        <x:v>10</x:v>
      </x:c>
      <x:c r="N68" s="12" t="n">
        <x:v>301.6</x:v>
      </x:c>
      <x:c r="O68" s="12" t="n">
        <x:v>311</x:v>
      </x:c>
      <x:c r="P68" s="12" t="n">
        <x:f>N68-O68</x:f>
        <x:v>-9.399999999999977</x:v>
      </x:c>
      <x:c r="Q68" s="12" t="n">
        <x:v>304.9</x:v>
      </x:c>
      <x:c r="R68" s="12" t="n">
        <x:v>13.1</x:v>
      </x:c>
      <x:c r="S68" s="12" t="n">
        <x:v>14.4</x:v>
      </x:c>
      <x:c r="T68" s="11" t="str">
        <x:v>High</x:v>
      </x:c>
      <x:c r="U68" s="13" t="n">
        <x:v>31</x:v>
      </x:c>
      <x:c r="V68" s="13" t="n">
        <x:v>2</x:v>
      </x:c>
      <x:c r="W68" s="11"/>
      <x:c r="X68" s="11" t="str">
        <x:v>Veteran model: 2025 form, prior-year trend and same team pass/run forecast; team pass volume #31, rush volume #2</x:v>
      </x:c>
    </x:row>
    <x:row r="69" ht="19" customHeight="1">
      <x:c r="A69" s="11" t="str">
        <x:v>Available</x:v>
      </x:c>
      <x:c r="B69" s="12" t="n">
        <x:v>64</x:v>
      </x:c>
      <x:c r="C69" s="12" t="n">
        <x:f>ROUNDUP(B69/12,0)</x:f>
        <x:v>6</x:v>
      </x:c>
      <x:c r="D69" s="13" t="n">
        <x:v>85</x:v>
      </x:c>
      <x:c r="E69" s="12" t="n">
        <x:f>B69-D69</x:f>
        <x:v>-21</x:v>
      </x:c>
      <x:c r="F69" s="13" t="n">
        <x:v>53</x:v>
      </x:c>
      <x:c r="G69" s="12" t="n">
        <x:f>B69-F69</x:f>
        <x:v>11</x:v>
      </x:c>
      <x:c r="H69" s="11" t="str">
        <x:v>Depth</x:v>
      </x:c>
      <x:c r="I69" s="11" t="str">
        <x:v>Carnell Tate</x:v>
      </x:c>
      <x:c r="J69" s="11" t="str">
        <x:v>WR</x:v>
      </x:c>
      <x:c r="K69" s="13" t="n">
        <x:v>37</x:v>
      </x:c>
      <x:c r="L69" s="13" t="str">
        <x:v>TEN</x:v>
      </x:c>
      <x:c r="M69" s="13" t="n">
        <x:v>9</x:v>
      </x:c>
      <x:c r="N69" s="12" t="n">
        <x:v>196.4</x:v>
      </x:c>
      <x:c r="O69" s="12" t="n">
        <x:v>177</x:v>
      </x:c>
      <x:c r="P69" s="12" t="n">
        <x:f>N69-O69</x:f>
        <x:v>19.400000000000006</x:v>
      </x:c>
      <x:c r="Q69" s="12" t="n">
        <x:v>181.8</x:v>
      </x:c>
      <x:c r="R69" s="12" t="n">
        <x:v>17</x:v>
      </x:c>
      <x:c r="S69" s="12" t="n">
        <x:v>0</x:v>
      </x:c>
      <x:c r="T69" s="11" t="str">
        <x:v>Low</x:v>
      </x:c>
      <x:c r="U69" s="13" t="n">
        <x:v>18</x:v>
      </x:c>
      <x:c r="V69" s="13" t="n">
        <x:v>30</x:v>
      </x:c>
      <x:c r="W69" s="11" t="str">
        <x:v>Ques</x:v>
      </x:c>
      <x:c r="X69" s="11" t="str">
        <x:v>Rookie model: pick 4, age and destination-team environment; team pass volume #18, rush volume #30</x:v>
      </x:c>
    </x:row>
    <x:row r="70" ht="19" customHeight="1">
      <x:c r="A70" s="11" t="str">
        <x:v>Available</x:v>
      </x:c>
      <x:c r="B70" s="12" t="n">
        <x:v>65.6</x:v>
      </x:c>
      <x:c r="C70" s="12" t="n">
        <x:f>ROUNDUP(B70/12,0)</x:f>
        <x:v>6</x:v>
      </x:c>
      <x:c r="D70" s="13" t="n">
        <x:v>50</x:v>
      </x:c>
      <x:c r="E70" s="12" t="n">
        <x:f>B70-D70</x:f>
        <x:v>15.599999999999994</x:v>
      </x:c>
      <x:c r="F70" s="13" t="n">
        <x:v>52</x:v>
      </x:c>
      <x:c r="G70" s="12" t="n">
        <x:f>B70-F70</x:f>
        <x:v>13.599999999999994</x:v>
      </x:c>
      <x:c r="H70" s="11" t="str">
        <x:v>Target</x:v>
      </x:c>
      <x:c r="I70" s="11" t="str">
        <x:v>Tucker Kraft</x:v>
      </x:c>
      <x:c r="J70" s="11" t="str">
        <x:v>TE</x:v>
      </x:c>
      <x:c r="K70" s="13" t="n">
        <x:v>7</x:v>
      </x:c>
      <x:c r="L70" s="13" t="str">
        <x:v>GB</x:v>
      </x:c>
      <x:c r="M70" s="13" t="n">
        <x:v>11</x:v>
      </x:c>
      <x:c r="N70" s="12" t="n">
        <x:v>180.1</x:v>
      </x:c>
      <x:c r="O70" s="12" t="n">
        <x:v>174</x:v>
      </x:c>
      <x:c r="P70" s="12" t="n">
        <x:f>N70-O70</x:f>
        <x:v>6.099999999999994</x:v>
      </x:c>
      <x:c r="Q70" s="12" t="n">
        <x:v>177</x:v>
      </x:c>
      <x:c r="R70" s="12" t="n">
        <x:v>13.7</x:v>
      </x:c>
      <x:c r="S70" s="12" t="n">
        <x:v>19.2</x:v>
      </x:c>
      <x:c r="T70" s="11" t="str">
        <x:v>Medium</x:v>
      </x:c>
      <x:c r="U70" s="13" t="n">
        <x:v>30</x:v>
      </x:c>
      <x:c r="V70" s="13" t="n">
        <x:v>4</x:v>
      </x:c>
      <x:c r="W70" s="11" t="str">
        <x:v>Ques</x:v>
      </x:c>
      <x:c r="X70" s="11" t="str">
        <x:v>Veteran model: 2025 form, prior-year trend and same team pass/run forecast; team pass volume #30, rush volume #4</x:v>
      </x:c>
    </x:row>
    <x:row r="71" ht="19" customHeight="1">
      <x:c r="A71" s="11" t="str">
        <x:v>Available</x:v>
      </x:c>
      <x:c r="B71" s="12" t="n">
        <x:v>66.1</x:v>
      </x:c>
      <x:c r="C71" s="12" t="n">
        <x:f>ROUNDUP(B71/12,0)</x:f>
        <x:v>6</x:v>
      </x:c>
      <x:c r="D71" s="13" t="n">
        <x:v>59</x:v>
      </x:c>
      <x:c r="E71" s="12" t="n">
        <x:f>B71-D71</x:f>
        <x:v>7.099999999999994</x:v>
      </x:c>
      <x:c r="F71" s="13" t="n">
        <x:v>63</x:v>
      </x:c>
      <x:c r="G71" s="12" t="n">
        <x:f>B71-F71</x:f>
        <x:v>3.0999999999999943</x:v>
      </x:c>
      <x:c r="H71" s="11" t="str">
        <x:v>Value</x:v>
      </x:c>
      <x:c r="I71" s="11" t="str">
        <x:v>Rome Odunze</x:v>
      </x:c>
      <x:c r="J71" s="11" t="str">
        <x:v>WR</x:v>
      </x:c>
      <x:c r="K71" s="13" t="n">
        <x:v>23</x:v>
      </x:c>
      <x:c r="L71" s="13" t="str">
        <x:v>CHI</x:v>
      </x:c>
      <x:c r="M71" s="13" t="n">
        <x:v>10</x:v>
      </x:c>
      <x:c r="N71" s="12" t="n">
        <x:v>193.6</x:v>
      </x:c>
      <x:c r="O71" s="12" t="n">
        <x:v>208</x:v>
      </x:c>
      <x:c r="P71" s="12" t="n">
        <x:f>N71-O71</x:f>
        <x:v>-14.400000000000006</x:v>
      </x:c>
      <x:c r="Q71" s="12" t="n">
        <x:v>198.7</x:v>
      </x:c>
      <x:c r="R71" s="12" t="n">
        <x:v>12.7</x:v>
      </x:c>
      <x:c r="S71" s="12" t="n">
        <x:v>12.6</x:v>
      </x:c>
      <x:c r="T71" s="11" t="str">
        <x:v>High</x:v>
      </x:c>
      <x:c r="U71" s="13" t="n">
        <x:v>13</x:v>
      </x:c>
      <x:c r="V71" s="13" t="n">
        <x:v>6</x:v>
      </x:c>
      <x:c r="W71" s="11"/>
      <x:c r="X71" s="11" t="str">
        <x:v>Veteran model: 2025 form, prior-year trend and same team pass/run forecast; team pass volume #13, rush volume #6</x:v>
      </x:c>
    </x:row>
    <x:row r="72" ht="19" customHeight="1">
      <x:c r="A72" s="11" t="str">
        <x:v>Available</x:v>
      </x:c>
      <x:c r="B72" s="12" t="n">
        <x:v>67.1</x:v>
      </x:c>
      <x:c r="C72" s="12" t="n">
        <x:f>ROUNDUP(B72/12,0)</x:f>
        <x:v>6</x:v>
      </x:c>
      <x:c r="D72" s="13" t="n">
        <x:v>67</x:v>
      </x:c>
      <x:c r="E72" s="12" t="n">
        <x:f>B72-D72</x:f>
        <x:v>0.09999999999999432</x:v>
      </x:c>
      <x:c r="F72" s="13" t="n">
        <x:v>101</x:v>
      </x:c>
      <x:c r="G72" s="12" t="n">
        <x:f>B72-F72</x:f>
        <x:v>-33.900000000000006</x:v>
      </x:c>
      <x:c r="H72" s="11" t="str">
        <x:v>Fair</x:v>
      </x:c>
      <x:c r="I72" s="11" t="str">
        <x:v>Harold Fannin</x:v>
      </x:c>
      <x:c r="J72" s="11" t="str">
        <x:v>TE</x:v>
      </x:c>
      <x:c r="K72" s="13" t="n">
        <x:v>12</x:v>
      </x:c>
      <x:c r="L72" s="13" t="str">
        <x:v>CLE</x:v>
      </x:c>
      <x:c r="M72" s="13" t="n">
        <x:v>11</x:v>
      </x:c>
      <x:c r="N72" s="12" t="n">
        <x:v>148.4</x:v>
      </x:c>
      <x:c r="O72" s="12" t="n">
        <x:v>180</x:v>
      </x:c>
      <x:c r="P72" s="12" t="n">
        <x:f>N72-O72</x:f>
        <x:v>-31.599999999999994</x:v>
      </x:c>
      <x:c r="Q72" s="12" t="n">
        <x:v>164.2</x:v>
      </x:c>
      <x:c r="R72" s="12" t="n">
        <x:v>13.2</x:v>
      </x:c>
      <x:c r="S72" s="12" t="n">
        <x:v>8.5</x:v>
      </x:c>
      <x:c r="T72" s="11" t="str">
        <x:v>Medium</x:v>
      </x:c>
      <x:c r="U72" s="13" t="n">
        <x:v>4</x:v>
      </x:c>
      <x:c r="V72" s="13" t="n">
        <x:v>26</x:v>
      </x:c>
      <x:c r="W72" s="11"/>
      <x:c r="X72" s="11" t="str">
        <x:v>Veteran model: 2025 form, prior-year trend and same team pass/run forecast; team pass volume #4, rush volume #26</x:v>
      </x:c>
    </x:row>
    <x:row r="73" ht="19" customHeight="1">
      <x:c r="A73" s="11" t="str">
        <x:v>Available</x:v>
      </x:c>
      <x:c r="B73" s="12" t="n">
        <x:v>68.2</x:v>
      </x:c>
      <x:c r="C73" s="12" t="n">
        <x:f>ROUNDUP(B73/12,0)</x:f>
        <x:v>6</x:v>
      </x:c>
      <x:c r="D73" s="13" t="n">
        <x:v>28</x:v>
      </x:c>
      <x:c r="E73" s="12" t="n">
        <x:f>B73-D73</x:f>
        <x:v>40.2</x:v>
      </x:c>
      <x:c r="F73" s="13" t="n">
        <x:v>21</x:v>
      </x:c>
      <x:c r="G73" s="12" t="n">
        <x:f>B73-F73</x:f>
        <x:v>47.2</x:v>
      </x:c>
      <x:c r="H73" s="11" t="str">
        <x:v>Target</x:v>
      </x:c>
      <x:c r="I73" s="11" t="str">
        <x:v>Kyle Pitts</x:v>
      </x:c>
      <x:c r="J73" s="11" t="str">
        <x:v>TE</x:v>
      </x:c>
      <x:c r="K73" s="13" t="n">
        <x:v>3</x:v>
      </x:c>
      <x:c r="L73" s="13" t="str">
        <x:v>ATL</x:v>
      </x:c>
      <x:c r="M73" s="13" t="n">
        <x:v>11</x:v>
      </x:c>
      <x:c r="N73" s="12" t="n">
        <x:v>211.6</x:v>
      </x:c>
      <x:c r="O73" s="12" t="n">
        <x:v>172</x:v>
      </x:c>
      <x:c r="P73" s="12" t="n">
        <x:f>N73-O73</x:f>
        <x:v>39.599999999999994</x:v>
      </x:c>
      <x:c r="Q73" s="12" t="n">
        <x:v>197.7</x:v>
      </x:c>
      <x:c r="R73" s="12" t="n">
        <x:v>14.9</x:v>
      </x:c>
      <x:c r="S73" s="12" t="n">
        <x:v>39</x:v>
      </x:c>
      <x:c r="T73" s="11" t="str">
        <x:v>High</x:v>
      </x:c>
      <x:c r="U73" s="13" t="n">
        <x:v>17</x:v>
      </x:c>
      <x:c r="V73" s="13" t="n">
        <x:v>5</x:v>
      </x:c>
      <x:c r="W73" s="11"/>
      <x:c r="X73" s="11" t="str">
        <x:v>Veteran model: 2025 form, prior-year trend and same team pass/run forecast; team pass volume #17, rush volume #5</x:v>
      </x:c>
    </x:row>
    <x:row r="74" ht="19" customHeight="1">
      <x:c r="A74" s="11" t="str">
        <x:v>Available</x:v>
      </x:c>
      <x:c r="B74" s="12" t="n">
        <x:v>69.1</x:v>
      </x:c>
      <x:c r="C74" s="12" t="n">
        <x:f>ROUNDUP(B74/12,0)</x:f>
        <x:v>6</x:v>
      </x:c>
      <x:c r="D74" s="13" t="n">
        <x:v>65</x:v>
      </x:c>
      <x:c r="E74" s="12" t="n">
        <x:f>B74-D74</x:f>
        <x:v>4.099999999999994</x:v>
      </x:c>
      <x:c r="F74" s="13" t="n">
        <x:v>89</x:v>
      </x:c>
      <x:c r="G74" s="12" t="n">
        <x:f>B74-F74</x:f>
        <x:v>-19.900000000000006</x:v>
      </x:c>
      <x:c r="H74" s="11" t="str">
        <x:v>Fair</x:v>
      </x:c>
      <x:c r="I74" s="11" t="str">
        <x:v>Christian Watson</x:v>
      </x:c>
      <x:c r="J74" s="11" t="str">
        <x:v>WR</x:v>
      </x:c>
      <x:c r="K74" s="13" t="n">
        <x:v>27</x:v>
      </x:c>
      <x:c r="L74" s="13" t="str">
        <x:v>GB</x:v>
      </x:c>
      <x:c r="M74" s="13" t="n">
        <x:v>11</x:v>
      </x:c>
      <x:c r="N74" s="12" t="n">
        <x:v>180</x:v>
      </x:c>
      <x:c r="O74" s="12" t="n">
        <x:v>208</x:v>
      </x:c>
      <x:c r="P74" s="12" t="n">
        <x:f>N74-O74</x:f>
        <x:v>-28</x:v>
      </x:c>
      <x:c r="Q74" s="12" t="n">
        <x:v>194</x:v>
      </x:c>
      <x:c r="R74" s="12" t="n">
        <x:v>12.4</x:v>
      </x:c>
      <x:c r="S74" s="12" t="n">
        <x:v>8.9</x:v>
      </x:c>
      <x:c r="T74" s="11" t="str">
        <x:v>Medium</x:v>
      </x:c>
      <x:c r="U74" s="13" t="n">
        <x:v>30</x:v>
      </x:c>
      <x:c r="V74" s="13" t="n">
        <x:v>4</x:v>
      </x:c>
      <x:c r="W74" s="11"/>
      <x:c r="X74" s="11" t="str">
        <x:v>Veteran model: 2025 form, prior-year trend and same team pass/run forecast; team pass volume #30, rush volume #4</x:v>
      </x:c>
    </x:row>
    <x:row r="75" ht="19" customHeight="1">
      <x:c r="A75" s="11" t="str">
        <x:v>Available</x:v>
      </x:c>
      <x:c r="B75" s="12" t="n">
        <x:v>69.7</x:v>
      </x:c>
      <x:c r="C75" s="12" t="n">
        <x:f>ROUNDUP(B75/12,0)</x:f>
        <x:v>6</x:v>
      </x:c>
      <x:c r="D75" s="13" t="n">
        <x:v>81</x:v>
      </x:c>
      <x:c r="E75" s="12" t="n">
        <x:f>B75-D75</x:f>
        <x:v>-11.299999999999997</x:v>
      </x:c>
      <x:c r="F75" s="13" t="n">
        <x:v>39</x:v>
      </x:c>
      <x:c r="G75" s="12" t="n">
        <x:f>B75-F75</x:f>
        <x:v>30.700000000000003</x:v>
      </x:c>
      <x:c r="H75" s="11" t="str">
        <x:v>Slight reach</x:v>
      </x:c>
      <x:c r="I75" s="11" t="str">
        <x:v>Jadarian Price</x:v>
      </x:c>
      <x:c r="J75" s="11" t="str">
        <x:v>RB</x:v>
      </x:c>
      <x:c r="K75" s="13" t="n">
        <x:v>24</x:v>
      </x:c>
      <x:c r="L75" s="13" t="str">
        <x:v>SEA</x:v>
      </x:c>
      <x:c r="M75" s="13" t="n">
        <x:v>11</x:v>
      </x:c>
      <x:c r="N75" s="12" t="n">
        <x:v>221.7</x:v>
      </x:c>
      <x:c r="O75" s="12" t="n">
        <x:v>170</x:v>
      </x:c>
      <x:c r="P75" s="12" t="n">
        <x:f>N75-O75</x:f>
        <x:v>51.69999999999999</x:v>
      </x:c>
      <x:c r="Q75" s="12" t="n">
        <x:v>182.9</x:v>
      </x:c>
      <x:c r="R75" s="12" t="n">
        <x:v>11.6</x:v>
      </x:c>
      <x:c r="S75" s="12" t="n">
        <x:v>3.6</x:v>
      </x:c>
      <x:c r="T75" s="11" t="str">
        <x:v>Low</x:v>
      </x:c>
      <x:c r="U75" s="13" t="n">
        <x:v>23</x:v>
      </x:c>
      <x:c r="V75" s="13" t="n">
        <x:v>21</x:v>
      </x:c>
      <x:c r="W75" s="11"/>
      <x:c r="X75" s="11" t="str">
        <x:v>Rookie model: pick 32, age and destination-team environment; team pass volume #23, rush volume #21</x:v>
      </x:c>
    </x:row>
    <x:row r="76" ht="19" customHeight="1">
      <x:c r="A76" s="11" t="str">
        <x:v>Available</x:v>
      </x:c>
      <x:c r="B76" s="12" t="n">
        <x:v>71.9</x:v>
      </x:c>
      <x:c r="C76" s="12" t="n">
        <x:f>ROUNDUP(B76/12,0)</x:f>
        <x:v>6</x:v>
      </x:c>
      <x:c r="D76" s="13" t="n">
        <x:v>47</x:v>
      </x:c>
      <x:c r="E76" s="12" t="n">
        <x:f>B76-D76</x:f>
        <x:v>24.900000000000006</x:v>
      </x:c>
      <x:c r="F76" s="13" t="n">
        <x:v>35</x:v>
      </x:c>
      <x:c r="G76" s="12" t="n">
        <x:f>B76-F76</x:f>
        <x:v>36.900000000000006</x:v>
      </x:c>
      <x:c r="H76" s="11" t="str">
        <x:v>Target</x:v>
      </x:c>
      <x:c r="I76" s="11" t="str">
        <x:v>Caleb Williams</x:v>
      </x:c>
      <x:c r="J76" s="11" t="str">
        <x:v>QB</x:v>
      </x:c>
      <x:c r="K76" s="13" t="n">
        <x:v>3</x:v>
      </x:c>
      <x:c r="L76" s="13" t="str">
        <x:v>CHI</x:v>
      </x:c>
      <x:c r="M76" s="13" t="n">
        <x:v>10</x:v>
      </x:c>
      <x:c r="N76" s="12" t="n">
        <x:v>319.6</x:v>
      </x:c>
      <x:c r="O76" s="12" t="n">
        <x:v>299</x:v>
      </x:c>
      <x:c r="P76" s="12" t="n">
        <x:f>N76-O76</x:f>
        <x:v>20.600000000000023</x:v>
      </x:c>
      <x:c r="Q76" s="12" t="n">
        <x:v>312.4</x:v>
      </x:c>
      <x:c r="R76" s="12" t="n">
        <x:v>15.4</x:v>
      </x:c>
      <x:c r="S76" s="12" t="n">
        <x:v>23.7</x:v>
      </x:c>
      <x:c r="T76" s="11" t="str">
        <x:v>High</x:v>
      </x:c>
      <x:c r="U76" s="13" t="n">
        <x:v>13</x:v>
      </x:c>
      <x:c r="V76" s="13" t="n">
        <x:v>6</x:v>
      </x:c>
      <x:c r="W76" s="11"/>
      <x:c r="X76" s="11" t="str">
        <x:v>Veteran model: 2025 form, prior-year trend and same team pass/run forecast; team pass volume #13, rush volume #6</x:v>
      </x:c>
    </x:row>
    <x:row r="77" ht="19" customHeight="1">
      <x:c r="A77" s="11" t="str">
        <x:v>Available</x:v>
      </x:c>
      <x:c r="B77" s="12" t="n">
        <x:v>72.4</x:v>
      </x:c>
      <x:c r="C77" s="12" t="n">
        <x:f>ROUNDUP(B77/12,0)</x:f>
        <x:v>7</x:v>
      </x:c>
      <x:c r="D77" s="13" t="n">
        <x:v>60</x:v>
      </x:c>
      <x:c r="E77" s="12" t="n">
        <x:f>B77-D77</x:f>
        <x:v>12.400000000000006</x:v>
      </x:c>
      <x:c r="F77" s="13" t="n">
        <x:v>60</x:v>
      </x:c>
      <x:c r="G77" s="12" t="n">
        <x:f>B77-F77</x:f>
        <x:v>12.400000000000006</x:v>
      </x:c>
      <x:c r="H77" s="11" t="str">
        <x:v>Value</x:v>
      </x:c>
      <x:c r="I77" s="11" t="str">
        <x:v>Brian Thomas</x:v>
      </x:c>
      <x:c r="J77" s="11" t="str">
        <x:v>WR</x:v>
      </x:c>
      <x:c r="K77" s="13" t="n">
        <x:v>26</x:v>
      </x:c>
      <x:c r="L77" s="13" t="str">
        <x:v>JAX</x:v>
      </x:c>
      <x:c r="M77" s="13" t="n">
        <x:v>7</x:v>
      </x:c>
      <x:c r="N77" s="12" t="n">
        <x:v>197.8</x:v>
      </x:c>
      <x:c r="O77" s="12" t="n">
        <x:v>195</x:v>
      </x:c>
      <x:c r="P77" s="12" t="n">
        <x:f>N77-O77</x:f>
        <x:v>2.8000000000000114</x:v>
      </x:c>
      <x:c r="Q77" s="12" t="n">
        <x:v>196.8</x:v>
      </x:c>
      <x:c r="R77" s="12" t="n">
        <x:v>13.7</x:v>
      </x:c>
      <x:c r="S77" s="12" t="n">
        <x:v>12.1</x:v>
      </x:c>
      <x:c r="T77" s="11" t="str">
        <x:v>High</x:v>
      </x:c>
      <x:c r="U77" s="13" t="n">
        <x:v>11</x:v>
      </x:c>
      <x:c r="V77" s="13" t="n">
        <x:v>15</x:v>
      </x:c>
      <x:c r="W77" s="11"/>
      <x:c r="X77" s="11" t="str">
        <x:v>Veteran model: 2025 form, prior-year trend and same team pass/run forecast; team pass volume #11, rush volume #15</x:v>
      </x:c>
    </x:row>
    <x:row r="78" ht="19" customHeight="1">
      <x:c r="A78" s="11" t="str">
        <x:v>Available</x:v>
      </x:c>
      <x:c r="B78" s="12" t="n">
        <x:v>73.6</x:v>
      </x:c>
      <x:c r="C78" s="12" t="n">
        <x:f>ROUNDUP(B78/12,0)</x:f>
        <x:v>7</x:v>
      </x:c>
      <x:c r="D78" s="13" t="n">
        <x:v>86</x:v>
      </x:c>
      <x:c r="E78" s="12" t="n">
        <x:f>B78-D78</x:f>
        <x:v>-12.400000000000006</x:v>
      </x:c>
      <x:c r="F78" s="13" t="n">
        <x:v>85</x:v>
      </x:c>
      <x:c r="G78" s="12" t="n">
        <x:f>B78-F78</x:f>
        <x:v>-11.400000000000006</x:v>
      </x:c>
      <x:c r="H78" s="11" t="str">
        <x:v>Depth</x:v>
      </x:c>
      <x:c r="I78" s="11" t="str">
        <x:v>Jaylen Warren</x:v>
      </x:c>
      <x:c r="J78" s="11" t="str">
        <x:v>RB</x:v>
      </x:c>
      <x:c r="K78" s="13" t="n">
        <x:v>25</x:v>
      </x:c>
      <x:c r="L78" s="13" t="str">
        <x:v>PIT</x:v>
      </x:c>
      <x:c r="M78" s="13" t="n">
        <x:v>9</x:v>
      </x:c>
      <x:c r="N78" s="12" t="n">
        <x:v>181.1</x:v>
      </x:c>
      <x:c r="O78" s="12" t="n">
        <x:v>171</x:v>
      </x:c>
      <x:c r="P78" s="12" t="n">
        <x:f>N78-O78</x:f>
        <x:v>10.099999999999994</x:v>
      </x:c>
      <x:c r="Q78" s="12" t="n">
        <x:v>177.6</x:v>
      </x:c>
      <x:c r="R78" s="12" t="n">
        <x:v>12.7</x:v>
      </x:c>
      <x:c r="S78" s="12" t="n">
        <x:v>0</x:v>
      </x:c>
      <x:c r="T78" s="11" t="str">
        <x:v>High</x:v>
      </x:c>
      <x:c r="U78" s="13" t="n">
        <x:v>24</x:v>
      </x:c>
      <x:c r="V78" s="13" t="n">
        <x:v>18</x:v>
      </x:c>
      <x:c r="W78" s="11"/>
      <x:c r="X78" s="11" t="str">
        <x:v>Veteran model: 2025 form, prior-year trend and same team pass/run forecast; team pass volume #24, rush volume #18</x:v>
      </x:c>
    </x:row>
    <x:row r="79" ht="19" customHeight="1">
      <x:c r="A79" s="11" t="str">
        <x:v>Available</x:v>
      </x:c>
      <x:c r="B79" s="12" t="n">
        <x:v>74.3</x:v>
      </x:c>
      <x:c r="C79" s="12" t="n">
        <x:f>ROUNDUP(B79/12,0)</x:f>
        <x:v>7</x:v>
      </x:c>
      <x:c r="D79" s="13" t="n">
        <x:v>93</x:v>
      </x:c>
      <x:c r="E79" s="12" t="n">
        <x:f>B79-D79</x:f>
        <x:v>-18.700000000000003</x:v>
      </x:c>
      <x:c r="F79" s="13" t="n">
        <x:v>91</x:v>
      </x:c>
      <x:c r="G79" s="12" t="n">
        <x:f>B79-F79</x:f>
        <x:v>-16.700000000000003</x:v>
      </x:c>
      <x:c r="H79" s="11" t="str">
        <x:v>Depth</x:v>
      </x:c>
      <x:c r="I79" s="11" t="str">
        <x:v>DK Metcalf</x:v>
      </x:c>
      <x:c r="J79" s="11" t="str">
        <x:v>WR</x:v>
      </x:c>
      <x:c r="K79" s="13" t="n">
        <x:v>40</x:v>
      </x:c>
      <x:c r="L79" s="13" t="str">
        <x:v>PIT</x:v>
      </x:c>
      <x:c r="M79" s="13" t="n">
        <x:v>9</x:v>
      </x:c>
      <x:c r="N79" s="12" t="n">
        <x:v>175.4</x:v>
      </x:c>
      <x:c r="O79" s="12" t="n">
        <x:v>183</x:v>
      </x:c>
      <x:c r="P79" s="12" t="n">
        <x:f>N79-O79</x:f>
        <x:v>-7.599999999999994</x:v>
      </x:c>
      <x:c r="Q79" s="12" t="n">
        <x:v>178.1</x:v>
      </x:c>
      <x:c r="R79" s="12" t="n">
        <x:v>13.2</x:v>
      </x:c>
      <x:c r="S79" s="12" t="n">
        <x:v>-2.9</x:v>
      </x:c>
      <x:c r="T79" s="11" t="str">
        <x:v>High</x:v>
      </x:c>
      <x:c r="U79" s="13" t="n">
        <x:v>24</x:v>
      </x:c>
      <x:c r="V79" s="13" t="n">
        <x:v>18</x:v>
      </x:c>
      <x:c r="W79" s="11" t="str">
        <x:v>Ques</x:v>
      </x:c>
      <x:c r="X79" s="11" t="str">
        <x:v>Veteran model: 2025 form, prior-year trend and same team pass/run forecast; team pass volume #24, rush volume #18</x:v>
      </x:c>
    </x:row>
    <x:row r="80" ht="19" customHeight="1">
      <x:c r="A80" s="11" t="str">
        <x:v>Available</x:v>
      </x:c>
      <x:c r="B80" s="12" t="n">
        <x:v>75.7</x:v>
      </x:c>
      <x:c r="C80" s="12" t="n">
        <x:f>ROUNDUP(B80/12,0)</x:f>
        <x:v>7</x:v>
      </x:c>
      <x:c r="D80" s="13" t="n">
        <x:v>75</x:v>
      </x:c>
      <x:c r="E80" s="12" t="n">
        <x:f>B80-D80</x:f>
        <x:v>0.7000000000000028</x:v>
      </x:c>
      <x:c r="F80" s="13" t="n">
        <x:v>68</x:v>
      </x:c>
      <x:c r="G80" s="12" t="n">
        <x:f>B80-F80</x:f>
        <x:v>7.700000000000003</x:v>
      </x:c>
      <x:c r="H80" s="11" t="str">
        <x:v>Fair</x:v>
      </x:c>
      <x:c r="I80" s="11" t="str">
        <x:v>Marvin Harrison</x:v>
      </x:c>
      <x:c r="J80" s="11" t="str">
        <x:v>WR</x:v>
      </x:c>
      <x:c r="K80" s="13" t="n">
        <x:v>31</x:v>
      </x:c>
      <x:c r="L80" s="13" t="str">
        <x:v>ARI</x:v>
      </x:c>
      <x:c r="M80" s="13" t="n">
        <x:v>14</x:v>
      </x:c>
      <x:c r="N80" s="12" t="n">
        <x:v>191.1</x:v>
      </x:c>
      <x:c r="O80" s="12" t="n">
        <x:v>186</x:v>
      </x:c>
      <x:c r="P80" s="12" t="n">
        <x:f>N80-O80</x:f>
        <x:v>5.099999999999994</x:v>
      </x:c>
      <x:c r="Q80" s="12" t="n">
        <x:v>189.3</x:v>
      </x:c>
      <x:c r="R80" s="12" t="n">
        <x:v>12</x:v>
      </x:c>
      <x:c r="S80" s="12" t="n">
        <x:v>5.3</x:v>
      </x:c>
      <x:c r="T80" s="11" t="str">
        <x:v>High</x:v>
      </x:c>
      <x:c r="U80" s="13" t="n">
        <x:v>3</x:v>
      </x:c>
      <x:c r="V80" s="13" t="n">
        <x:v>29</x:v>
      </x:c>
      <x:c r="W80" s="11"/>
      <x:c r="X80" s="11" t="str">
        <x:v>Veteran model: 2025 form, prior-year trend and same team pass/run forecast; team pass volume #3, rush volume #29</x:v>
      </x:c>
    </x:row>
    <x:row r="81" ht="19" customHeight="1">
      <x:c r="A81" s="11" t="str">
        <x:v>Available</x:v>
      </x:c>
      <x:c r="B81" s="12" t="n">
        <x:v>76.1</x:v>
      </x:c>
      <x:c r="C81" s="12" t="n">
        <x:f>ROUNDUP(B81/12,0)</x:f>
        <x:v>7</x:v>
      </x:c>
      <x:c r="D81" s="13" t="n">
        <x:v>121</x:v>
      </x:c>
      <x:c r="E81" s="12" t="n">
        <x:f>B81-D81</x:f>
        <x:v>-44.900000000000006</x:v>
      </x:c>
      <x:c r="F81" s="13" t="n">
        <x:v>131</x:v>
      </x:c>
      <x:c r="G81" s="12" t="n">
        <x:f>B81-F81</x:f>
        <x:v>-54.900000000000006</x:v>
      </x:c>
      <x:c r="H81" s="11" t="str">
        <x:v>Depth</x:v>
      </x:c>
      <x:c r="I81" s="11" t="str">
        <x:v>Chuba Hubbard</x:v>
      </x:c>
      <x:c r="J81" s="11" t="str">
        <x:v>RB</x:v>
      </x:c>
      <x:c r="K81" s="13" t="n">
        <x:v>34</x:v>
      </x:c>
      <x:c r="L81" s="13" t="str">
        <x:v>CAR</x:v>
      </x:c>
      <x:c r="M81" s="13" t="n">
        <x:v>5</x:v>
      </x:c>
      <x:c r="N81" s="12" t="n">
        <x:v>155.9</x:v>
      </x:c>
      <x:c r="O81" s="12" t="n">
        <x:v>148</x:v>
      </x:c>
      <x:c r="P81" s="12" t="n">
        <x:f>N81-O81</x:f>
        <x:v>7.900000000000006</x:v>
      </x:c>
      <x:c r="Q81" s="12" t="n">
        <x:v>153.1</x:v>
      </x:c>
      <x:c r="R81" s="12" t="n">
        <x:v>11.2</x:v>
      </x:c>
      <x:c r="S81" s="12" t="n">
        <x:v>-16.1</x:v>
      </x:c>
      <x:c r="T81" s="11" t="str">
        <x:v>High</x:v>
      </x:c>
      <x:c r="U81" s="13" t="n">
        <x:v>22</x:v>
      </x:c>
      <x:c r="V81" s="13" t="n">
        <x:v>23</x:v>
      </x:c>
      <x:c r="W81" s="11" t="str">
        <x:v>Ques</x:v>
      </x:c>
      <x:c r="X81" s="11" t="str">
        <x:v>Veteran model: 2025 form, prior-year trend and same team pass/run forecast; team pass volume #22, rush volume #23</x:v>
      </x:c>
    </x:row>
    <x:row r="82" ht="19" customHeight="1">
      <x:c r="A82" s="11" t="str">
        <x:v>Available</x:v>
      </x:c>
      <x:c r="B82" s="12" t="n">
        <x:v>76.7</x:v>
      </x:c>
      <x:c r="C82" s="12" t="n">
        <x:f>ROUNDUP(B82/12,0)</x:f>
        <x:v>7</x:v>
      </x:c>
      <x:c r="D82" s="13" t="n">
        <x:v>83</x:v>
      </x:c>
      <x:c r="E82" s="12" t="n">
        <x:f>B82-D82</x:f>
        <x:v>-6.299999999999997</x:v>
      </x:c>
      <x:c r="F82" s="13" t="n">
        <x:v>99</x:v>
      </x:c>
      <x:c r="G82" s="12" t="n">
        <x:f>B82-F82</x:f>
        <x:v>-22.299999999999997</x:v>
      </x:c>
      <x:c r="H82" s="11" t="str">
        <x:v>Fair</x:v>
      </x:c>
      <x:c r="I82" s="11" t="str">
        <x:v>Parker Washington</x:v>
      </x:c>
      <x:c r="J82" s="11" t="str">
        <x:v>WR</x:v>
      </x:c>
      <x:c r="K82" s="13" t="n">
        <x:v>35</x:v>
      </x:c>
      <x:c r="L82" s="13" t="str">
        <x:v>JAX</x:v>
      </x:c>
      <x:c r="M82" s="13" t="n">
        <x:v>7</x:v>
      </x:c>
      <x:c r="N82" s="12" t="n">
        <x:v>170.1</x:v>
      </x:c>
      <x:c r="O82" s="12" t="n">
        <x:v>212</x:v>
      </x:c>
      <x:c r="P82" s="12" t="n">
        <x:f>N82-O82</x:f>
        <x:v>-41.900000000000006</x:v>
      </x:c>
      <x:c r="Q82" s="12" t="n">
        <x:v>184.7</x:v>
      </x:c>
      <x:c r="R82" s="12" t="n">
        <x:v>13.3</x:v>
      </x:c>
      <x:c r="S82" s="12" t="n">
        <x:v>2.3</x:v>
      </x:c>
      <x:c r="T82" s="11" t="str">
        <x:v>High</x:v>
      </x:c>
      <x:c r="U82" s="13" t="n">
        <x:v>11</x:v>
      </x:c>
      <x:c r="V82" s="13" t="n">
        <x:v>15</x:v>
      </x:c>
      <x:c r="W82" s="11" t="str">
        <x:v>Ques</x:v>
      </x:c>
      <x:c r="X82" s="11" t="str">
        <x:v>Veteran model: 2025 form, prior-year trend and same team pass/run forecast; team pass volume #11, rush volume #15</x:v>
      </x:c>
    </x:row>
    <x:row r="83" ht="19" customHeight="1">
      <x:c r="A83" s="11" t="str">
        <x:v>Available</x:v>
      </x:c>
      <x:c r="B83" s="12" t="n">
        <x:v>78.6</x:v>
      </x:c>
      <x:c r="C83" s="12" t="n">
        <x:f>ROUNDUP(B83/12,0)</x:f>
        <x:v>7</x:v>
      </x:c>
      <x:c r="D83" s="13" t="n">
        <x:v>193</x:v>
      </x:c>
      <x:c r="E83" s="12" t="n">
        <x:f>B83-D83</x:f>
        <x:v>-114.4</x:v>
      </x:c>
      <x:c r="F83" s="13" t="n">
        <x:v>92</x:v>
      </x:c>
      <x:c r="G83" s="12" t="n">
        <x:f>B83-F83</x:f>
        <x:v>-13.400000000000006</x:v>
      </x:c>
      <x:c r="H83" s="11" t="str">
        <x:v>Depth</x:v>
      </x:c>
      <x:c r="I83" s="11" t="str">
        <x:v>Jordyn Tyson</x:v>
      </x:c>
      <x:c r="J83" s="11" t="str">
        <x:v>WR</x:v>
      </x:c>
      <x:c r="K83" s="13" t="n">
        <x:v>66</x:v>
      </x:c>
      <x:c r="L83" s="13" t="str">
        <x:v>NO</x:v>
      </x:c>
      <x:c r="M83" s="13" t="n">
        <x:v>8</x:v>
      </x:c>
      <x:c r="N83" s="12" t="n">
        <x:v>175.7</x:v>
      </x:c>
      <x:c r="O83" s="12" t="n">
        <x:v>111</x:v>
      </x:c>
      <x:c r="P83" s="12" t="n">
        <x:f>N83-O83</x:f>
        <x:v>64.69999999999999</x:v>
      </x:c>
      <x:c r="Q83" s="12" t="n">
        <x:v>127.2</x:v>
      </x:c>
      <x:c r="R83" s="12" t="n">
        <x:v>14.9</x:v>
      </x:c>
      <x:c r="S83" s="12" t="n">
        <x:v>-47.9</x:v>
      </x:c>
      <x:c r="T83" s="11" t="str">
        <x:v>Low</x:v>
      </x:c>
      <x:c r="U83" s="13" t="n">
        <x:v>8</x:v>
      </x:c>
      <x:c r="V83" s="13" t="n">
        <x:v>22</x:v>
      </x:c>
      <x:c r="W83" s="11" t="str">
        <x:v>Doub</x:v>
      </x:c>
      <x:c r="X83" s="11" t="str">
        <x:v>Rookie model: pick 8, age and destination-team environment; team pass volume #8, rush volume #22</x:v>
      </x:c>
    </x:row>
    <x:row r="84" ht="19" customHeight="1">
      <x:c r="A84" s="11" t="str">
        <x:v>Available</x:v>
      </x:c>
      <x:c r="B84" s="12" t="n">
        <x:v>79.9</x:v>
      </x:c>
      <x:c r="C84" s="12" t="n">
        <x:f>ROUNDUP(B84/12,0)</x:f>
        <x:v>7</x:v>
      </x:c>
      <x:c r="D84" s="13" t="n">
        <x:v>108</x:v>
      </x:c>
      <x:c r="E84" s="12" t="n">
        <x:f>B84-D84</x:f>
        <x:v>-28.099999999999994</x:v>
      </x:c>
      <x:c r="F84" s="13" t="n">
        <x:v>71</x:v>
      </x:c>
      <x:c r="G84" s="12" t="n">
        <x:f>B84-F84</x:f>
        <x:v>8.900000000000006</x:v>
      </x:c>
      <x:c r="H84" s="11" t="str">
        <x:v>Depth</x:v>
      </x:c>
      <x:c r="I84" s="11" t="str">
        <x:v>RJ Harvey</x:v>
      </x:c>
      <x:c r="J84" s="11" t="str">
        <x:v>RB</x:v>
      </x:c>
      <x:c r="K84" s="13" t="n">
        <x:v>29</x:v>
      </x:c>
      <x:c r="L84" s="13" t="str">
        <x:v>DEN</x:v>
      </x:c>
      <x:c r="M84" s="13" t="n">
        <x:v>10</x:v>
      </x:c>
      <x:c r="N84" s="12" t="n">
        <x:v>189.2</x:v>
      </x:c>
      <x:c r="O84" s="12" t="n">
        <x:v>144</x:v>
      </x:c>
      <x:c r="P84" s="12" t="n">
        <x:f>N84-O84</x:f>
        <x:v>45.19999999999999</x:v>
      </x:c>
      <x:c r="Q84" s="12" t="n">
        <x:v>166.6</x:v>
      </x:c>
      <x:c r="R84" s="12" t="n">
        <x:v>12.7</x:v>
      </x:c>
      <x:c r="S84" s="12" t="n">
        <x:v>-8.2</x:v>
      </x:c>
      <x:c r="T84" s="11" t="str">
        <x:v>Medium</x:v>
      </x:c>
      <x:c r="U84" s="13" t="n">
        <x:v>6</x:v>
      </x:c>
      <x:c r="V84" s="13" t="n">
        <x:v>19</x:v>
      </x:c>
      <x:c r="W84" s="11"/>
      <x:c r="X84" s="11" t="str">
        <x:v>Veteran model: 2025 form, prior-year trend and same team pass/run forecast; team pass volume #6, rush volume #19</x:v>
      </x:c>
    </x:row>
    <x:row r="85" ht="19" customHeight="1">
      <x:c r="A85" s="11" t="str">
        <x:v>Available</x:v>
      </x:c>
      <x:c r="B85" s="12" t="n">
        <x:v>80.9</x:v>
      </x:c>
      <x:c r="C85" s="12" t="n">
        <x:f>ROUNDUP(B85/12,0)</x:f>
        <x:v>7</x:v>
      </x:c>
      <x:c r="D85" s="13" t="n">
        <x:v>68</x:v>
      </x:c>
      <x:c r="E85" s="12" t="n">
        <x:f>B85-D85</x:f>
        <x:v>12.900000000000006</x:v>
      </x:c>
      <x:c r="F85" s="13" t="n">
        <x:v>51</x:v>
      </x:c>
      <x:c r="G85" s="12" t="n">
        <x:f>B85-F85</x:f>
        <x:v>29.900000000000006</x:v>
      </x:c>
      <x:c r="H85" s="11" t="str">
        <x:v>Value</x:v>
      </x:c>
      <x:c r="I85" s="11" t="str">
        <x:v>Courtland Sutton</x:v>
      </x:c>
      <x:c r="J85" s="11" t="str">
        <x:v>WR</x:v>
      </x:c>
      <x:c r="K85" s="13" t="n">
        <x:v>28</x:v>
      </x:c>
      <x:c r="L85" s="13" t="str">
        <x:v>DEN</x:v>
      </x:c>
      <x:c r="M85" s="13" t="n">
        <x:v>10</x:v>
      </x:c>
      <x:c r="N85" s="12" t="n">
        <x:v>203.9</x:v>
      </x:c>
      <x:c r="O85" s="12" t="n">
        <x:v>174</x:v>
      </x:c>
      <x:c r="P85" s="12" t="n">
        <x:f>N85-O85</x:f>
        <x:v>29.900000000000006</x:v>
      </x:c>
      <x:c r="Q85" s="12" t="n">
        <x:v>193.4</x:v>
      </x:c>
      <x:c r="R85" s="12" t="n">
        <x:v>12.3</x:v>
      </x:c>
      <x:c r="S85" s="12" t="n">
        <x:v>8.4</x:v>
      </x:c>
      <x:c r="T85" s="11" t="str">
        <x:v>High</x:v>
      </x:c>
      <x:c r="U85" s="13" t="n">
        <x:v>6</x:v>
      </x:c>
      <x:c r="V85" s="13" t="n">
        <x:v>19</x:v>
      </x:c>
      <x:c r="W85" s="11"/>
      <x:c r="X85" s="11" t="str">
        <x:v>Veteran model: 2025 form, prior-year trend and same team pass/run forecast; team pass volume #6, rush volume #19</x:v>
      </x:c>
    </x:row>
    <x:row r="86" ht="19" customHeight="1">
      <x:c r="A86" s="11" t="str">
        <x:v>Available</x:v>
      </x:c>
      <x:c r="B86" s="12" t="n">
        <x:v>81.7</x:v>
      </x:c>
      <x:c r="C86" s="12" t="n">
        <x:f>ROUNDUP(B86/12,0)</x:f>
        <x:v>7</x:v>
      </x:c>
      <x:c r="D86" s="13" t="n">
        <x:v>95</x:v>
      </x:c>
      <x:c r="E86" s="12" t="n">
        <x:f>B86-D86</x:f>
        <x:v>-13.299999999999997</x:v>
      </x:c>
      <x:c r="F86" s="13" t="n">
        <x:v>107</x:v>
      </x:c>
      <x:c r="G86" s="12" t="n">
        <x:f>B86-F86</x:f>
        <x:v>-25.299999999999997</x:v>
      </x:c>
      <x:c r="H86" s="11" t="str">
        <x:v>Depth</x:v>
      </x:c>
      <x:c r="I86" s="11" t="str">
        <x:v>Dak Prescott</x:v>
      </x:c>
      <x:c r="J86" s="11" t="str">
        <x:v>QB</x:v>
      </x:c>
      <x:c r="K86" s="13" t="n">
        <x:v>15</x:v>
      </x:c>
      <x:c r="L86" s="13" t="str">
        <x:v>DAL</x:v>
      </x:c>
      <x:c r="M86" s="13" t="n">
        <x:v>14</x:v>
      </x:c>
      <x:c r="N86" s="12" t="n">
        <x:v>268.8</x:v>
      </x:c>
      <x:c r="O86" s="12" t="n">
        <x:v>304</x:v>
      </x:c>
      <x:c r="P86" s="12" t="n">
        <x:f>N86-O86</x:f>
        <x:v>-35.19999999999999</x:v>
      </x:c>
      <x:c r="Q86" s="12" t="n">
        <x:v>281.1</x:v>
      </x:c>
      <x:c r="R86" s="12" t="n">
        <x:v>12.6</x:v>
      </x:c>
      <x:c r="S86" s="12" t="n">
        <x:v>-3.8</x:v>
      </x:c>
      <x:c r="T86" s="11" t="str">
        <x:v>High</x:v>
      </x:c>
      <x:c r="U86" s="13" t="n">
        <x:v>2</x:v>
      </x:c>
      <x:c r="V86" s="13" t="n">
        <x:v>20</x:v>
      </x:c>
      <x:c r="W86" s="11"/>
      <x:c r="X86" s="11" t="str">
        <x:v>Veteran model: 2025 form, prior-year trend and same team pass/run forecast; team pass volume #2, rush volume #20</x:v>
      </x:c>
    </x:row>
    <x:row r="87" ht="19" customHeight="1">
      <x:c r="A87" s="11" t="str">
        <x:v>Available</x:v>
      </x:c>
      <x:c r="B87" s="12" t="n">
        <x:v>82.3</x:v>
      </x:c>
      <x:c r="C87" s="12" t="n">
        <x:f>ROUNDUP(B87/12,0)</x:f>
        <x:v>7</x:v>
      </x:c>
      <x:c r="D87" s="13" t="n">
        <x:v>92</x:v>
      </x:c>
      <x:c r="E87" s="12" t="n">
        <x:f>B87-D87</x:f>
        <x:v>-9.700000000000003</x:v>
      </x:c>
      <x:c r="F87" s="13" t="n">
        <x:v>75</x:v>
      </x:c>
      <x:c r="G87" s="12" t="n">
        <x:f>B87-F87</x:f>
        <x:v>7.299999999999997</x:v>
      </x:c>
      <x:c r="H87" s="11" t="str">
        <x:v>Depth</x:v>
      </x:c>
      <x:c r="I87" s="11" t="str">
        <x:v>Michael Wilson</x:v>
      </x:c>
      <x:c r="J87" s="11" t="str">
        <x:v>WR</x:v>
      </x:c>
      <x:c r="K87" s="13" t="n">
        <x:v>39</x:v>
      </x:c>
      <x:c r="L87" s="13" t="str">
        <x:v>ARI</x:v>
      </x:c>
      <x:c r="M87" s="13" t="n">
        <x:v>14</x:v>
      </x:c>
      <x:c r="N87" s="12" t="n">
        <x:v>185.5</x:v>
      </x:c>
      <x:c r="O87" s="12" t="n">
        <x:v>166</x:v>
      </x:c>
      <x:c r="P87" s="12" t="n">
        <x:f>N87-O87</x:f>
        <x:v>19.5</x:v>
      </x:c>
      <x:c r="Q87" s="12" t="n">
        <x:v>178.7</x:v>
      </x:c>
      <x:c r="R87" s="12" t="n">
        <x:v>13.2</x:v>
      </x:c>
      <x:c r="S87" s="12" t="n">
        <x:v>-2.4</x:v>
      </x:c>
      <x:c r="T87" s="11" t="str">
        <x:v>High</x:v>
      </x:c>
      <x:c r="U87" s="13" t="n">
        <x:v>3</x:v>
      </x:c>
      <x:c r="V87" s="13" t="n">
        <x:v>29</x:v>
      </x:c>
      <x:c r="W87" s="11"/>
      <x:c r="X87" s="11" t="str">
        <x:v>Veteran model: 2025 form, prior-year trend and same team pass/run forecast; team pass volume #3, rush volume #29</x:v>
      </x:c>
    </x:row>
    <x:row r="88" ht="19" customHeight="1">
      <x:c r="A88" s="11" t="str">
        <x:v>Available</x:v>
      </x:c>
      <x:c r="B88" s="12" t="n">
        <x:v>83.4</x:v>
      </x:c>
      <x:c r="C88" s="12" t="n">
        <x:f>ROUNDUP(B88/12,0)</x:f>
        <x:v>7</x:v>
      </x:c>
      <x:c r="D88" s="13" t="n">
        <x:v>78</x:v>
      </x:c>
      <x:c r="E88" s="12" t="n">
        <x:f>B88-D88</x:f>
        <x:v>5.400000000000006</x:v>
      </x:c>
      <x:c r="F88" s="13" t="n">
        <x:v>72</x:v>
      </x:c>
      <x:c r="G88" s="12" t="n">
        <x:f>B88-F88</x:f>
        <x:v>11.400000000000006</x:v>
      </x:c>
      <x:c r="H88" s="11" t="str">
        <x:v>Fair</x:v>
      </x:c>
      <x:c r="I88" s="11" t="str">
        <x:v>Justin Herbert</x:v>
      </x:c>
      <x:c r="J88" s="11" t="str">
        <x:v>QB</x:v>
      </x:c>
      <x:c r="K88" s="13" t="n">
        <x:v>11</x:v>
      </x:c>
      <x:c r="L88" s="13" t="str">
        <x:v>LAC</x:v>
      </x:c>
      <x:c r="M88" s="13" t="n">
        <x:v>7</x:v>
      </x:c>
      <x:c r="N88" s="12" t="n">
        <x:v>289.6</x:v>
      </x:c>
      <x:c r="O88" s="12" t="n">
        <x:v>295</x:v>
      </x:c>
      <x:c r="P88" s="12" t="n">
        <x:f>N88-O88</x:f>
        <x:v>-5.399999999999977</x:v>
      </x:c>
      <x:c r="Q88" s="12" t="n">
        <x:v>291.5</x:v>
      </x:c>
      <x:c r="R88" s="12" t="n">
        <x:v>12.5</x:v>
      </x:c>
      <x:c r="S88" s="12" t="n">
        <x:v>3.9</x:v>
      </x:c>
      <x:c r="T88" s="11" t="str">
        <x:v>High</x:v>
      </x:c>
      <x:c r="U88" s="13" t="n">
        <x:v>14</x:v>
      </x:c>
      <x:c r="V88" s="13" t="n">
        <x:v>16</x:v>
      </x:c>
      <x:c r="W88" s="11"/>
      <x:c r="X88" s="11" t="str">
        <x:v>Veteran model: 2025 form, prior-year trend and same team pass/run forecast; team pass volume #14, rush volume #16</x:v>
      </x:c>
    </x:row>
    <x:row r="89" ht="19" customHeight="1">
      <x:c r="A89" s="11" t="str">
        <x:v>Available</x:v>
      </x:c>
      <x:c r="B89" s="12" t="n">
        <x:v>83.5</x:v>
      </x:c>
      <x:c r="C89" s="12" t="n">
        <x:f>ROUNDUP(B89/12,0)</x:f>
        <x:v>7</x:v>
      </x:c>
      <x:c r="D89" s="13" t="n">
        <x:v>98</x:v>
      </x:c>
      <x:c r="E89" s="12" t="n">
        <x:f>B89-D89</x:f>
        <x:v>-14.5</x:v>
      </x:c>
      <x:c r="F89" s="13" t="n">
        <x:v>119</x:v>
      </x:c>
      <x:c r="G89" s="12" t="n">
        <x:f>B89-F89</x:f>
        <x:v>-35.5</x:v>
      </x:c>
      <x:c r="H89" s="11" t="str">
        <x:v>Depth</x:v>
      </x:c>
      <x:c r="I89" s="11" t="str">
        <x:v>Jaxson Dart</x:v>
      </x:c>
      <x:c r="J89" s="11" t="str">
        <x:v>QB</x:v>
      </x:c>
      <x:c r="K89" s="13" t="n">
        <x:v>16</x:v>
      </x:c>
      <x:c r="L89" s="13" t="str">
        <x:v>NYG</x:v>
      </x:c>
      <x:c r="M89" s="13" t="n">
        <x:v>8</x:v>
      </x:c>
      <x:c r="N89" s="12" t="n">
        <x:v>263.5</x:v>
      </x:c>
      <x:c r="O89" s="12" t="n">
        <x:v>297</x:v>
      </x:c>
      <x:c r="P89" s="12" t="n">
        <x:f>N89-O89</x:f>
        <x:v>-33.5</x:v>
      </x:c>
      <x:c r="Q89" s="12" t="n">
        <x:v>280.2</x:v>
      </x:c>
      <x:c r="R89" s="12" t="n">
        <x:v>12.3</x:v>
      </x:c>
      <x:c r="S89" s="12" t="n">
        <x:v>-4.3</x:v>
      </x:c>
      <x:c r="T89" s="11" t="str">
        <x:v>Medium</x:v>
      </x:c>
      <x:c r="U89" s="13" t="n">
        <x:v>19</x:v>
      </x:c>
      <x:c r="V89" s="13" t="n">
        <x:v>10</x:v>
      </x:c>
      <x:c r="W89" s="11"/>
      <x:c r="X89" s="11" t="str">
        <x:v>Veteran model: 2025 form, prior-year trend and same team pass/run forecast; team pass volume #19, rush volume #10</x:v>
      </x:c>
    </x:row>
    <x:row r="90" ht="19" customHeight="1">
      <x:c r="A90" s="11" t="str">
        <x:v>Available</x:v>
      </x:c>
      <x:c r="B90" s="12" t="n">
        <x:v>85.1</x:v>
      </x:c>
      <x:c r="C90" s="12" t="n">
        <x:f>ROUNDUP(B90/12,0)</x:f>
        <x:v>8</x:v>
      </x:c>
      <x:c r="D90" s="13" t="n">
        <x:v>102</x:v>
      </x:c>
      <x:c r="E90" s="12" t="n">
        <x:f>B90-D90</x:f>
        <x:v>-16.900000000000006</x:v>
      </x:c>
      <x:c r="F90" s="13" t="n">
        <x:v>105</x:v>
      </x:c>
      <x:c r="G90" s="12" t="n">
        <x:f>B90-F90</x:f>
        <x:v>-19.900000000000006</x:v>
      </x:c>
      <x:c r="H90" s="11" t="str">
        <x:v>Depth</x:v>
      </x:c>
      <x:c r="I90" s="11" t="str">
        <x:v>Rhamondre Stevenson</x:v>
      </x:c>
      <x:c r="J90" s="11" t="str">
        <x:v>RB</x:v>
      </x:c>
      <x:c r="K90" s="13" t="n">
        <x:v>28</x:v>
      </x:c>
      <x:c r="L90" s="13" t="str">
        <x:v>NE</x:v>
      </x:c>
      <x:c r="M90" s="13" t="n">
        <x:v>11</x:v>
      </x:c>
      <x:c r="N90" s="12" t="n">
        <x:v>167.1</x:v>
      </x:c>
      <x:c r="O90" s="12" t="n">
        <x:v>169</x:v>
      </x:c>
      <x:c r="P90" s="12" t="n">
        <x:f>N90-O90</x:f>
        <x:v>-1.9000000000000057</x:v>
      </x:c>
      <x:c r="Q90" s="12" t="n">
        <x:v>167.7</x:v>
      </x:c>
      <x:c r="R90" s="12" t="n">
        <x:v>11.3</x:v>
      </x:c>
      <x:c r="S90" s="12" t="n">
        <x:v>-6.6</x:v>
      </x:c>
      <x:c r="T90" s="11" t="str">
        <x:v>High</x:v>
      </x:c>
      <x:c r="U90" s="13" t="n">
        <x:v>27</x:v>
      </x:c>
      <x:c r="V90" s="13" t="n">
        <x:v>12</x:v>
      </x:c>
      <x:c r="W90" s="11"/>
      <x:c r="X90" s="11" t="str">
        <x:v>Veteran model: 2025 form, prior-year trend and same team pass/run forecast; team pass volume #27, rush volume #12</x:v>
      </x:c>
    </x:row>
    <x:row r="91" ht="19" customHeight="1">
      <x:c r="A91" s="11" t="str">
        <x:v>Available</x:v>
      </x:c>
      <x:c r="B91" s="12" t="n">
        <x:v>86</x:v>
      </x:c>
      <x:c r="C91" s="12" t="n">
        <x:f>ROUNDUP(B91/12,0)</x:f>
        <x:v>8</x:v>
      </x:c>
      <x:c r="D91" s="13" t="n">
        <x:v>118</x:v>
      </x:c>
      <x:c r="E91" s="12" t="n">
        <x:f>B91-D91</x:f>
        <x:v>-32</x:v>
      </x:c>
      <x:c r="F91" s="13" t="n">
        <x:v>158</x:v>
      </x:c>
      <x:c r="G91" s="12" t="n">
        <x:f>B91-F91</x:f>
        <x:v>-72</x:v>
      </x:c>
      <x:c r="H91" s="11" t="str">
        <x:v>Depth</x:v>
      </x:c>
      <x:c r="I91" s="11" t="str">
        <x:v>Makai Lemon</x:v>
      </x:c>
      <x:c r="J91" s="11" t="str">
        <x:v>WR</x:v>
      </x:c>
      <x:c r="K91" s="13" t="n">
        <x:v>47</x:v>
      </x:c>
      <x:c r="L91" s="13" t="str">
        <x:v>PHI</x:v>
      </x:c>
      <x:c r="M91" s="13" t="n">
        <x:v>10</x:v>
      </x:c>
      <x:c r="N91" s="12" t="n">
        <x:v>145.4</x:v>
      </x:c>
      <x:c r="O91" s="12" t="n">
        <x:v>169</x:v>
      </x:c>
      <x:c r="P91" s="12" t="n">
        <x:f>N91-O91</x:f>
        <x:v>-23.599999999999994</x:v>
      </x:c>
      <x:c r="Q91" s="12" t="n">
        <x:v>163.1</x:v>
      </x:c>
      <x:c r="R91" s="12" t="n">
        <x:v>12.5</x:v>
      </x:c>
      <x:c r="S91" s="12" t="n">
        <x:v>-13.8</x:v>
      </x:c>
      <x:c r="T91" s="11" t="str">
        <x:v>Low</x:v>
      </x:c>
      <x:c r="U91" s="13" t="n">
        <x:v>31</x:v>
      </x:c>
      <x:c r="V91" s="13" t="n">
        <x:v>2</x:v>
      </x:c>
      <x:c r="W91" s="11" t="str">
        <x:v>Ques</x:v>
      </x:c>
      <x:c r="X91" s="11" t="str">
        <x:v>Rookie model: pick 20, age and destination-team environment; team pass volume #31, rush volume #2</x:v>
      </x:c>
    </x:row>
    <x:row r="92" ht="19" customHeight="1">
      <x:c r="A92" s="11" t="str">
        <x:v>Available</x:v>
      </x:c>
      <x:c r="B92" s="12" t="n">
        <x:v>87.6</x:v>
      </x:c>
      <x:c r="C92" s="12" t="n">
        <x:f>ROUNDUP(B92/12,0)</x:f>
        <x:v>8</x:v>
      </x:c>
      <x:c r="D92" s="13" t="n">
        <x:v>103</x:v>
      </x:c>
      <x:c r="E92" s="12" t="n">
        <x:f>B92-D92</x:f>
        <x:v>-15.400000000000006</x:v>
      </x:c>
      <x:c r="F92" s="13" t="n">
        <x:v>96</x:v>
      </x:c>
      <x:c r="G92" s="12" t="n">
        <x:f>B92-F92</x:f>
        <x:v>-8.400000000000006</x:v>
      </x:c>
      <x:c r="H92" s="11" t="str">
        <x:v>Depth</x:v>
      </x:c>
      <x:c r="I92" s="11" t="str">
        <x:v>Tony Pollard</x:v>
      </x:c>
      <x:c r="J92" s="11" t="str">
        <x:v>RB</x:v>
      </x:c>
      <x:c r="K92" s="13" t="n">
        <x:v>27</x:v>
      </x:c>
      <x:c r="L92" s="13" t="str">
        <x:v>TEN</x:v>
      </x:c>
      <x:c r="M92" s="13" t="n">
        <x:v>9</x:v>
      </x:c>
      <x:c r="N92" s="12" t="n">
        <x:v>172.8</x:v>
      </x:c>
      <x:c r="O92" s="12" t="n">
        <x:v>160</x:v>
      </x:c>
      <x:c r="P92" s="12" t="n">
        <x:f>N92-O92</x:f>
        <x:v>12.800000000000011</x:v>
      </x:c>
      <x:c r="Q92" s="12" t="n">
        <x:v>168.3</x:v>
      </x:c>
      <x:c r="R92" s="12" t="n">
        <x:v>12</x:v>
      </x:c>
      <x:c r="S92" s="12" t="n">
        <x:v>-6.6</x:v>
      </x:c>
      <x:c r="T92" s="11" t="str">
        <x:v>High</x:v>
      </x:c>
      <x:c r="U92" s="13" t="n">
        <x:v>18</x:v>
      </x:c>
      <x:c r="V92" s="13" t="n">
        <x:v>30</x:v>
      </x:c>
      <x:c r="W92" s="11"/>
      <x:c r="X92" s="11" t="str">
        <x:v>Veteran model: 2025 form, prior-year trend and same team pass/run forecast; team pass volume #18, rush volume #30</x:v>
      </x:c>
    </x:row>
    <x:row r="93" ht="19" customHeight="1">
      <x:c r="A93" s="11" t="str">
        <x:v>Available</x:v>
      </x:c>
      <x:c r="B93" s="12" t="n">
        <x:v>88.5</x:v>
      </x:c>
      <x:c r="C93" s="12" t="n">
        <x:f>ROUNDUP(B93/12,0)</x:f>
        <x:v>8</x:v>
      </x:c>
      <x:c r="D93" s="13" t="n">
        <x:v>111</x:v>
      </x:c>
      <x:c r="E93" s="12" t="n">
        <x:f>B93-D93</x:f>
        <x:v>-22.5</x:v>
      </x:c>
      <x:c r="F93" s="13" t="n">
        <x:v>110</x:v>
      </x:c>
      <x:c r="G93" s="12" t="n">
        <x:f>B93-F93</x:f>
        <x:v>-21.5</x:v>
      </x:c>
      <x:c r="H93" s="11" t="str">
        <x:v>Depth</x:v>
      </x:c>
      <x:c r="I93" s="11" t="str">
        <x:v>Rico Dowdle</x:v>
      </x:c>
      <x:c r="J93" s="11" t="str">
        <x:v>RB</x:v>
      </x:c>
      <x:c r="K93" s="13" t="n">
        <x:v>30</x:v>
      </x:c>
      <x:c r="L93" s="13" t="str">
        <x:v>PIT</x:v>
      </x:c>
      <x:c r="M93" s="13" t="n">
        <x:v>9</x:v>
      </x:c>
      <x:c r="N93" s="12" t="n">
        <x:v>166.8</x:v>
      </x:c>
      <x:c r="O93" s="12" t="n">
        <x:v>161</x:v>
      </x:c>
      <x:c r="P93" s="12" t="n">
        <x:f>N93-O93</x:f>
        <x:v>5.800000000000011</x:v>
      </x:c>
      <x:c r="Q93" s="12" t="n">
        <x:v>164.8</x:v>
      </x:c>
      <x:c r="R93" s="12" t="n">
        <x:v>13.3</x:v>
      </x:c>
      <x:c r="S93" s="12" t="n">
        <x:v>-10</x:v>
      </x:c>
      <x:c r="T93" s="11" t="str">
        <x:v>High</x:v>
      </x:c>
      <x:c r="U93" s="13" t="n">
        <x:v>24</x:v>
      </x:c>
      <x:c r="V93" s="13" t="n">
        <x:v>18</x:v>
      </x:c>
      <x:c r="W93" s="11"/>
      <x:c r="X93" s="11" t="str">
        <x:v>Veteran model: 2025 form, prior-year trend and new team pass/run forecast; team pass volume #24, rush volume #18</x:v>
      </x:c>
    </x:row>
    <x:row r="94" ht="19" customHeight="1">
      <x:c r="A94" s="11" t="str">
        <x:v>Available</x:v>
      </x:c>
      <x:c r="B94" s="12" t="n">
        <x:v>90</x:v>
      </x:c>
      <x:c r="C94" s="12" t="n">
        <x:f>ROUNDUP(B94/12,0)</x:f>
        <x:v>8</x:v>
      </x:c>
      <x:c r="D94" s="13" t="n">
        <x:v>62</x:v>
      </x:c>
      <x:c r="E94" s="12" t="n">
        <x:f>B94-D94</x:f>
        <x:v>28</x:v>
      </x:c>
      <x:c r="F94" s="13" t="n">
        <x:v>65</x:v>
      </x:c>
      <x:c r="G94" s="12" t="n">
        <x:f>B94-F94</x:f>
        <x:v>25</x:v>
      </x:c>
      <x:c r="H94" s="11" t="str">
        <x:v>Target</x:v>
      </x:c>
      <x:c r="I94" s="11" t="str">
        <x:v>Dalton Kincaid</x:v>
      </x:c>
      <x:c r="J94" s="11" t="str">
        <x:v>TE</x:v>
      </x:c>
      <x:c r="K94" s="13" t="n">
        <x:v>9</x:v>
      </x:c>
      <x:c r="L94" s="13" t="str">
        <x:v>BUF</x:v>
      </x:c>
      <x:c r="M94" s="13" t="n">
        <x:v>7</x:v>
      </x:c>
      <x:c r="N94" s="12" t="n">
        <x:v>169.8</x:v>
      </x:c>
      <x:c r="O94" s="12" t="n">
        <x:v>164</x:v>
      </x:c>
      <x:c r="P94" s="12" t="n">
        <x:f>N94-O94</x:f>
        <x:v>5.800000000000011</x:v>
      </x:c>
      <x:c r="Q94" s="12" t="n">
        <x:v>167.8</x:v>
      </x:c>
      <x:c r="R94" s="12" t="n">
        <x:v>13.6</x:v>
      </x:c>
      <x:c r="S94" s="12" t="n">
        <x:v>11.7</x:v>
      </x:c>
      <x:c r="T94" s="11" t="str">
        <x:v>High</x:v>
      </x:c>
      <x:c r="U94" s="13" t="n">
        <x:v>28</x:v>
      </x:c>
      <x:c r="V94" s="13" t="n">
        <x:v>3</x:v>
      </x:c>
      <x:c r="W94" s="11"/>
      <x:c r="X94" s="11" t="str">
        <x:v>Veteran model: 2025 form, prior-year trend and same team pass/run forecast; team pass volume #28, rush volume #3</x:v>
      </x:c>
    </x:row>
    <x:row r="95" ht="19" customHeight="1">
      <x:c r="A95" s="11" t="str">
        <x:v>Available</x:v>
      </x:c>
      <x:c r="B95" s="12" t="n">
        <x:v>90.3</x:v>
      </x:c>
      <x:c r="C95" s="12" t="n">
        <x:f>ROUNDUP(B95/12,0)</x:f>
        <x:v>8</x:v>
      </x:c>
      <x:c r="D95" s="13" t="n">
        <x:v>63</x:v>
      </x:c>
      <x:c r="E95" s="12" t="n">
        <x:f>B95-D95</x:f>
        <x:v>27.299999999999997</x:v>
      </x:c>
      <x:c r="F95" s="13" t="n">
        <x:v>77</x:v>
      </x:c>
      <x:c r="G95" s="12" t="n">
        <x:f>B95-F95</x:f>
        <x:v>13.299999999999997</x:v>
      </x:c>
      <x:c r="H95" s="11" t="str">
        <x:v>Target</x:v>
      </x:c>
      <x:c r="I95" s="11" t="str">
        <x:v>George Kittle</x:v>
      </x:c>
      <x:c r="J95" s="11" t="str">
        <x:v>TE</x:v>
      </x:c>
      <x:c r="K95" s="13" t="n">
        <x:v>10</x:v>
      </x:c>
      <x:c r="L95" s="13" t="str">
        <x:v>SF</x:v>
      </x:c>
      <x:c r="M95" s="13" t="n">
        <x:v>8</x:v>
      </x:c>
      <x:c r="N95" s="12" t="n">
        <x:v>163.5</x:v>
      </x:c>
      <x:c r="O95" s="12" t="n">
        <x:v>169</x:v>
      </x:c>
      <x:c r="P95" s="12" t="n">
        <x:f>N95-O95</x:f>
        <x:v>-5.5</x:v>
      </x:c>
      <x:c r="Q95" s="12" t="n">
        <x:v>166.2</x:v>
      </x:c>
      <x:c r="R95" s="12" t="n">
        <x:v>12.6</x:v>
      </x:c>
      <x:c r="S95" s="12" t="n">
        <x:v>9.6</x:v>
      </x:c>
      <x:c r="T95" s="11" t="str">
        <x:v>Medium</x:v>
      </x:c>
      <x:c r="U95" s="13" t="n">
        <x:v>16</x:v>
      </x:c>
      <x:c r="V95" s="13" t="n">
        <x:v>9</x:v>
      </x:c>
      <x:c r="W95" s="11" t="str">
        <x:v>PUP</x:v>
      </x:c>
      <x:c r="X95" s="11" t="str">
        <x:v>Veteran model: 2025 form, prior-year trend and same team pass/run forecast; team pass volume #16, rush volume #9</x:v>
      </x:c>
    </x:row>
    <x:row r="96" ht="19" customHeight="1">
      <x:c r="A96" s="11" t="str">
        <x:v>Available</x:v>
      </x:c>
      <x:c r="B96" s="12" t="n">
        <x:v>92.6</x:v>
      </x:c>
      <x:c r="C96" s="12" t="n">
        <x:f>ROUNDUP(B96/12,0)</x:f>
        <x:v>8</x:v>
      </x:c>
      <x:c r="D96" s="13" t="n">
        <x:v>94</x:v>
      </x:c>
      <x:c r="E96" s="12" t="n">
        <x:f>B96-D96</x:f>
        <x:v>-1.4000000000000057</x:v>
      </x:c>
      <x:c r="F96" s="13" t="n">
        <x:v>81</x:v>
      </x:c>
      <x:c r="G96" s="12" t="n">
        <x:f>B96-F96</x:f>
        <x:v>11.599999999999994</x:v>
      </x:c>
      <x:c r="H96" s="11" t="str">
        <x:v>Depth</x:v>
      </x:c>
      <x:c r="I96" s="11" t="str">
        <x:v>J.K. Dobbins</x:v>
      </x:c>
      <x:c r="J96" s="11" t="str">
        <x:v>RB</x:v>
      </x:c>
      <x:c r="K96" s="13" t="n">
        <x:v>26</x:v>
      </x:c>
      <x:c r="L96" s="13" t="str">
        <x:v>DEN</x:v>
      </x:c>
      <x:c r="M96" s="13" t="n">
        <x:v>10</x:v>
      </x:c>
      <x:c r="N96" s="12" t="n">
        <x:v>184.8</x:v>
      </x:c>
      <x:c r="O96" s="12" t="n">
        <x:v>160</x:v>
      </x:c>
      <x:c r="P96" s="12" t="n">
        <x:f>N96-O96</x:f>
        <x:v>24.80000000000001</x:v>
      </x:c>
      <x:c r="Q96" s="12" t="n">
        <x:v>172.4</x:v>
      </x:c>
      <x:c r="R96" s="12" t="n">
        <x:v>11</x:v>
      </x:c>
      <x:c r="S96" s="12" t="n">
        <x:v>-3.4</x:v>
      </x:c>
      <x:c r="T96" s="11" t="str">
        <x:v>Medium</x:v>
      </x:c>
      <x:c r="U96" s="13" t="n">
        <x:v>6</x:v>
      </x:c>
      <x:c r="V96" s="13" t="n">
        <x:v>19</x:v>
      </x:c>
      <x:c r="W96" s="11"/>
      <x:c r="X96" s="11" t="str">
        <x:v>Veteran model: 2025 form, prior-year trend and same team pass/run forecast; team pass volume #6, rush volume #19</x:v>
      </x:c>
    </x:row>
    <x:row r="97" ht="19" customHeight="1">
      <x:c r="A97" s="11" t="str">
        <x:v>Available</x:v>
      </x:c>
      <x:c r="B97" s="12" t="n">
        <x:v>93.6</x:v>
      </x:c>
      <x:c r="C97" s="12" t="n">
        <x:f>ROUNDUP(B97/12,0)</x:f>
        <x:v>8</x:v>
      </x:c>
      <x:c r="D97" s="13" t="n">
        <x:v>61</x:v>
      </x:c>
      <x:c r="E97" s="12" t="n">
        <x:f>B97-D97</x:f>
        <x:v>32.599999999999994</x:v>
      </x:c>
      <x:c r="F97" s="13" t="n">
        <x:v>70</x:v>
      </x:c>
      <x:c r="G97" s="12" t="n">
        <x:f>B97-F97</x:f>
        <x:v>23.599999999999994</x:v>
      </x:c>
      <x:c r="H97" s="11" t="str">
        <x:v>Target</x:v>
      </x:c>
      <x:c r="I97" s="11" t="str">
        <x:v>Travis Kelce</x:v>
      </x:c>
      <x:c r="J97" s="11" t="str">
        <x:v>TE</x:v>
      </x:c>
      <x:c r="K97" s="13" t="n">
        <x:v>8</x:v>
      </x:c>
      <x:c r="L97" s="13" t="str">
        <x:v>KC</x:v>
      </x:c>
      <x:c r="M97" s="13" t="n">
        <x:v>5</x:v>
      </x:c>
      <x:c r="N97" s="12" t="n">
        <x:v>169.5</x:v>
      </x:c>
      <x:c r="O97" s="12" t="n">
        <x:v>171</x:v>
      </x:c>
      <x:c r="P97" s="12" t="n">
        <x:f>N97-O97</x:f>
        <x:v>-1.5</x:v>
      </x:c>
      <x:c r="Q97" s="12" t="n">
        <x:v>170</x:v>
      </x:c>
      <x:c r="R97" s="12" t="n">
        <x:v>12.2</x:v>
      </x:c>
      <x:c r="S97" s="12" t="n">
        <x:v>12.1</x:v>
      </x:c>
      <x:c r="T97" s="11" t="str">
        <x:v>High</x:v>
      </x:c>
      <x:c r="U97" s="13" t="n">
        <x:v>5</x:v>
      </x:c>
      <x:c r="V97" s="13" t="n">
        <x:v>25</x:v>
      </x:c>
      <x:c r="W97" s="11"/>
      <x:c r="X97" s="11" t="str">
        <x:v>Veteran model: 2025 form, prior-year trend and same team pass/run forecast; team pass volume #5, rush volume #25</x:v>
      </x:c>
    </x:row>
    <x:row r="98" ht="19" customHeight="1">
      <x:c r="A98" s="11" t="str">
        <x:v>Available</x:v>
      </x:c>
      <x:c r="B98" s="12" t="n">
        <x:v>95.8</x:v>
      </x:c>
      <x:c r="C98" s="12" t="n">
        <x:f>ROUNDUP(B98/12,0)</x:f>
        <x:v>8</x:v>
      </x:c>
      <x:c r="D98" s="13" t="n">
        <x:v>105</x:v>
      </x:c>
      <x:c r="E98" s="12" t="n">
        <x:f>B98-D98</x:f>
        <x:v>-9.200000000000003</x:v>
      </x:c>
      <x:c r="F98" s="13" t="n">
        <x:v>108</x:v>
      </x:c>
      <x:c r="G98" s="12" t="n">
        <x:f>B98-F98</x:f>
        <x:v>-12.200000000000003</x:v>
      </x:c>
      <x:c r="H98" s="11" t="str">
        <x:v>Depth</x:v>
      </x:c>
      <x:c r="I98" s="11" t="str">
        <x:v>Chris Godwin</x:v>
      </x:c>
      <x:c r="J98" s="11" t="str">
        <x:v>WR</x:v>
      </x:c>
      <x:c r="K98" s="13" t="n">
        <x:v>45</x:v>
      </x:c>
      <x:c r="L98" s="13" t="str">
        <x:v>TB</x:v>
      </x:c>
      <x:c r="M98" s="13" t="n">
        <x:v>10</x:v>
      </x:c>
      <x:c r="N98" s="12" t="n">
        <x:v>158</x:v>
      </x:c>
      <x:c r="O98" s="12" t="n">
        <x:v>174</x:v>
      </x:c>
      <x:c r="P98" s="12" t="n">
        <x:f>N98-O98</x:f>
        <x:v>-16</x:v>
      </x:c>
      <x:c r="Q98" s="12" t="n">
        <x:v>166</x:v>
      </x:c>
      <x:c r="R98" s="12" t="n">
        <x:v>7.7</x:v>
      </x:c>
      <x:c r="S98" s="12" t="n">
        <x:v>-7.2</x:v>
      </x:c>
      <x:c r="T98" s="11" t="str">
        <x:v>Medium</x:v>
      </x:c>
      <x:c r="U98" s="13" t="n">
        <x:v>12</x:v>
      </x:c>
      <x:c r="V98" s="13" t="n">
        <x:v>11</x:v>
      </x:c>
      <x:c r="W98" s="11"/>
      <x:c r="X98" s="11" t="str">
        <x:v>Veteran model: 2025 form, prior-year trend and same team pass/run forecast; team pass volume #12, rush volume #11</x:v>
      </x:c>
    </x:row>
    <x:row r="99" ht="19" customHeight="1">
      <x:c r="A99" s="11" t="str">
        <x:v>Available</x:v>
      </x:c>
      <x:c r="B99" s="12" t="n">
        <x:v>96</x:v>
      </x:c>
      <x:c r="C99" s="12" t="n">
        <x:f>ROUNDUP(B99/12,0)</x:f>
        <x:v>8</x:v>
      </x:c>
      <x:c r="D99" s="13" t="n">
        <x:v>126</x:v>
      </x:c>
      <x:c r="E99" s="12" t="n">
        <x:f>B99-D99</x:f>
        <x:v>-30</x:v>
      </x:c>
      <x:c r="F99" s="13" t="n">
        <x:v>143</x:v>
      </x:c>
      <x:c r="G99" s="12" t="n">
        <x:f>B99-F99</x:f>
        <x:v>-47</x:v>
      </x:c>
      <x:c r="H99" s="11" t="str">
        <x:v>Depth</x:v>
      </x:c>
      <x:c r="I99" s="11" t="str">
        <x:v>Kyle Monangai</x:v>
      </x:c>
      <x:c r="J99" s="11" t="str">
        <x:v>RB</x:v>
      </x:c>
      <x:c r="K99" s="13" t="n">
        <x:v>33</x:v>
      </x:c>
      <x:c r="L99" s="13" t="str">
        <x:v>CHI</x:v>
      </x:c>
      <x:c r="M99" s="13" t="n">
        <x:v>10</x:v>
      </x:c>
      <x:c r="N99" s="12" t="n">
        <x:v>153</x:v>
      </x:c>
      <x:c r="O99" s="12" t="n">
        <x:v>155</x:v>
      </x:c>
      <x:c r="P99" s="12" t="n">
        <x:f>N99-O99</x:f>
        <x:v>-2</x:v>
      </x:c>
      <x:c r="Q99" s="12" t="n">
        <x:v>154</x:v>
      </x:c>
      <x:c r="R99" s="12" t="n">
        <x:v>12.5</x:v>
      </x:c>
      <x:c r="S99" s="12" t="n">
        <x:v>-17.4</x:v>
      </x:c>
      <x:c r="T99" s="11" t="str">
        <x:v>Medium</x:v>
      </x:c>
      <x:c r="U99" s="13" t="n">
        <x:v>13</x:v>
      </x:c>
      <x:c r="V99" s="13" t="n">
        <x:v>6</x:v>
      </x:c>
      <x:c r="W99" s="11" t="str">
        <x:v>Ques</x:v>
      </x:c>
      <x:c r="X99" s="11" t="str">
        <x:v>Veteran model: 2025 form, prior-year trend and same team pass/run forecast; team pass volume #13, rush volume #6</x:v>
      </x:c>
    </x:row>
    <x:row r="100" ht="19" customHeight="1">
      <x:c r="A100" s="11" t="str">
        <x:v>Available</x:v>
      </x:c>
      <x:c r="B100" s="12" t="n">
        <x:v>97.2</x:v>
      </x:c>
      <x:c r="C100" s="12" t="n">
        <x:f>ROUNDUP(B100/12,0)</x:f>
        <x:v>9</x:v>
      </x:c>
      <x:c r="D100" s="13" t="n">
        <x:v>84</x:v>
      </x:c>
      <x:c r="E100" s="12" t="n">
        <x:f>B100-D100</x:f>
        <x:v>13.200000000000003</x:v>
      </x:c>
      <x:c r="F100" s="13" t="n">
        <x:v>76</x:v>
      </x:c>
      <x:c r="G100" s="12" t="n">
        <x:f>B100-F100</x:f>
        <x:v>21.200000000000003</x:v>
      </x:c>
      <x:c r="H100" s="11" t="str">
        <x:v>Value</x:v>
      </x:c>
      <x:c r="I100" s="11" t="str">
        <x:v>Alec Pierce</x:v>
      </x:c>
      <x:c r="J100" s="11" t="str">
        <x:v>WR</x:v>
      </x:c>
      <x:c r="K100" s="13" t="n">
        <x:v>36</x:v>
      </x:c>
      <x:c r="L100" s="13" t="str">
        <x:v>IND</x:v>
      </x:c>
      <x:c r="M100" s="13" t="n">
        <x:v>13</x:v>
      </x:c>
      <x:c r="N100" s="12" t="n">
        <x:v>184.8</x:v>
      </x:c>
      <x:c r="O100" s="12" t="n">
        <x:v>178</x:v>
      </x:c>
      <x:c r="P100" s="12" t="n">
        <x:f>N100-O100</x:f>
        <x:v>6.800000000000011</x:v>
      </x:c>
      <x:c r="Q100" s="12" t="n">
        <x:v>182.4</x:v>
      </x:c>
      <x:c r="R100" s="12" t="n">
        <x:v>13.2</x:v>
      </x:c>
      <x:c r="S100" s="12" t="n">
        <x:v>0.5</x:v>
      </x:c>
      <x:c r="T100" s="11" t="str">
        <x:v>High</x:v>
      </x:c>
      <x:c r="U100" s="13" t="n">
        <x:v>21</x:v>
      </x:c>
      <x:c r="V100" s="13" t="n">
        <x:v>13</x:v>
      </x:c>
      <x:c r="W100" s="11" t="str">
        <x:v>PUP</x:v>
      </x:c>
      <x:c r="X100" s="11" t="str">
        <x:v>Veteran model: 2025 form, prior-year trend and same team pass/run forecast; team pass volume #21, rush volume #13</x:v>
      </x:c>
    </x:row>
    <x:row r="101" ht="19" customHeight="1">
      <x:c r="A101" s="11" t="str">
        <x:v>Available</x:v>
      </x:c>
      <x:c r="B101" s="12" t="n">
        <x:v>97.5</x:v>
      </x:c>
      <x:c r="C101" s="12" t="n">
        <x:f>ROUNDUP(B101/12,0)</x:f>
        <x:v>9</x:v>
      </x:c>
      <x:c r="D101" s="13" t="n">
        <x:v>77</x:v>
      </x:c>
      <x:c r="E101" s="12" t="n">
        <x:f>B101-D101</x:f>
        <x:v>20.5</x:v>
      </x:c>
      <x:c r="F101" s="13" t="n">
        <x:v>80</x:v>
      </x:c>
      <x:c r="G101" s="12" t="n">
        <x:f>B101-F101</x:f>
        <x:v>17.5</x:v>
      </x:c>
      <x:c r="H101" s="11" t="str">
        <x:v>Target</x:v>
      </x:c>
      <x:c r="I101" s="11" t="str">
        <x:v>Trevor Lawrence</x:v>
      </x:c>
      <x:c r="J101" s="11" t="str">
        <x:v>QB</x:v>
      </x:c>
      <x:c r="K101" s="13" t="n">
        <x:v>10</x:v>
      </x:c>
      <x:c r="L101" s="13" t="str">
        <x:v>JAX</x:v>
      </x:c>
      <x:c r="M101" s="13" t="n">
        <x:v>7</x:v>
      </x:c>
      <x:c r="N101" s="12" t="n">
        <x:v>285.9</x:v>
      </x:c>
      <x:c r="O101" s="12" t="n">
        <x:v>303</x:v>
      </x:c>
      <x:c r="P101" s="12" t="n">
        <x:f>N101-O101</x:f>
        <x:v>-17.100000000000023</x:v>
      </x:c>
      <x:c r="Q101" s="12" t="n">
        <x:v>291.9</x:v>
      </x:c>
      <x:c r="R101" s="12" t="n">
        <x:v>13.8</x:v>
      </x:c>
      <x:c r="S101" s="12" t="n">
        <x:v>4.6</x:v>
      </x:c>
      <x:c r="T101" s="11" t="str">
        <x:v>High</x:v>
      </x:c>
      <x:c r="U101" s="13" t="n">
        <x:v>11</x:v>
      </x:c>
      <x:c r="V101" s="13" t="n">
        <x:v>15</x:v>
      </x:c>
      <x:c r="W101" s="11"/>
      <x:c r="X101" s="11" t="str">
        <x:v>Veteran model: 2025 form, prior-year trend and same team pass/run forecast; team pass volume #11, rush volume #15</x:v>
      </x:c>
    </x:row>
    <x:row r="102" ht="19" customHeight="1">
      <x:c r="A102" s="11" t="str">
        <x:v>Available</x:v>
      </x:c>
      <x:c r="B102" s="12" t="n">
        <x:v>99.6</x:v>
      </x:c>
      <x:c r="C102" s="12" t="n">
        <x:f>ROUNDUP(B102/12,0)</x:f>
        <x:v>9</x:v>
      </x:c>
      <x:c r="D102" s="13" t="n">
        <x:v>74</x:v>
      </x:c>
      <x:c r="E102" s="12" t="n">
        <x:f>B102-D102</x:f>
        <x:v>25.599999999999994</x:v>
      </x:c>
      <x:c r="F102" s="13" t="n">
        <x:v>56</x:v>
      </x:c>
      <x:c r="G102" s="12" t="n">
        <x:f>B102-F102</x:f>
        <x:v>43.599999999999994</x:v>
      </x:c>
      <x:c r="H102" s="11" t="str">
        <x:v>Target</x:v>
      </x:c>
      <x:c r="I102" s="11" t="str">
        <x:v>Matthew Stafford</x:v>
      </x:c>
      <x:c r="J102" s="11" t="str">
        <x:v>QB</x:v>
      </x:c>
      <x:c r="K102" s="13" t="n">
        <x:v>9</x:v>
      </x:c>
      <x:c r="L102" s="13" t="str">
        <x:v>LAR</x:v>
      </x:c>
      <x:c r="M102" s="13" t="n">
        <x:v>11</x:v>
      </x:c>
      <x:c r="N102" s="12" t="n">
        <x:v>299.7</x:v>
      </x:c>
      <x:c r="O102" s="12" t="n">
        <x:v>280</x:v>
      </x:c>
      <x:c r="P102" s="12" t="n">
        <x:f>N102-O102</x:f>
        <x:v>19.69999999999999</x:v>
      </x:c>
      <x:c r="Q102" s="12" t="n">
        <x:v>292.8</x:v>
      </x:c>
      <x:c r="R102" s="12" t="n">
        <x:v>15.1</x:v>
      </x:c>
      <x:c r="S102" s="12" t="n">
        <x:v>5.9</x:v>
      </x:c>
      <x:c r="T102" s="11" t="str">
        <x:v>High</x:v>
      </x:c>
      <x:c r="U102" s="13" t="n">
        <x:v>7</x:v>
      </x:c>
      <x:c r="V102" s="13" t="n">
        <x:v>14</x:v>
      </x:c>
      <x:c r="W102" s="11"/>
      <x:c r="X102" s="11" t="str">
        <x:v>Veteran model: 2025 form, prior-year trend and same team pass/run forecast; team pass volume #7, rush volume #14</x:v>
      </x:c>
    </x:row>
    <x:row r="103" ht="19" customHeight="1">
      <x:c r="A103" s="11" t="str">
        <x:v>Available</x:v>
      </x:c>
      <x:c r="B103" s="12" t="n">
        <x:v>100.8</x:v>
      </x:c>
      <x:c r="C103" s="12" t="n">
        <x:f>ROUNDUP(B103/12,0)</x:f>
        <x:v>9</x:v>
      </x:c>
      <x:c r="D103" s="13" t="n">
        <x:v>99</x:v>
      </x:c>
      <x:c r="E103" s="12" t="n">
        <x:f>B103-D103</x:f>
        <x:v>1.7999999999999972</x:v>
      </x:c>
      <x:c r="F103" s="13" t="n">
        <x:v>126</x:v>
      </x:c>
      <x:c r="G103" s="12" t="n">
        <x:f>B103-F103</x:f>
        <x:v>-25.200000000000003</x:v>
      </x:c>
      <x:c r="H103" s="11" t="str">
        <x:v>Depth</x:v>
      </x:c>
      <x:c r="I103" s="11" t="str">
        <x:v>Jake Ferguson</x:v>
      </x:c>
      <x:c r="J103" s="11" t="str">
        <x:v>TE</x:v>
      </x:c>
      <x:c r="K103" s="13" t="n">
        <x:v>15</x:v>
      </x:c>
      <x:c r="L103" s="13" t="str">
        <x:v>DAL</x:v>
      </x:c>
      <x:c r="M103" s="13" t="n">
        <x:v>14</x:v>
      </x:c>
      <x:c r="N103" s="12" t="n">
        <x:v>141.9</x:v>
      </x:c>
      <x:c r="O103" s="12" t="n">
        <x:v>160</x:v>
      </x:c>
      <x:c r="P103" s="12" t="n">
        <x:f>N103-O103</x:f>
        <x:v>-18.099999999999994</x:v>
      </x:c>
      <x:c r="Q103" s="12" t="n">
        <x:v>148.2</x:v>
      </x:c>
      <x:c r="R103" s="12" t="n">
        <x:v>15.1</x:v>
      </x:c>
      <x:c r="S103" s="12" t="n">
        <x:v>-4.4</x:v>
      </x:c>
      <x:c r="T103" s="11" t="str">
        <x:v>High</x:v>
      </x:c>
      <x:c r="U103" s="13" t="n">
        <x:v>2</x:v>
      </x:c>
      <x:c r="V103" s="13" t="n">
        <x:v>20</x:v>
      </x:c>
      <x:c r="W103" s="11"/>
      <x:c r="X103" s="11" t="str">
        <x:v>Veteran model: 2025 form, prior-year trend and same team pass/run forecast; team pass volume #2, rush volume #20</x:v>
      </x:c>
    </x:row>
    <x:row r="104" ht="19" customHeight="1">
      <x:c r="A104" s="11" t="str">
        <x:v>Available</x:v>
      </x:c>
      <x:c r="B104" s="12" t="n">
        <x:v>102.1</x:v>
      </x:c>
      <x:c r="C104" s="12" t="n">
        <x:f>ROUNDUP(B104/12,0)</x:f>
        <x:v>9</x:v>
      </x:c>
      <x:c r="D104" s="13" t="n">
        <x:v>110</x:v>
      </x:c>
      <x:c r="E104" s="12" t="n">
        <x:f>B104-D104</x:f>
        <x:v>-7.900000000000006</x:v>
      </x:c>
      <x:c r="F104" s="13" t="n">
        <x:v>102</x:v>
      </x:c>
      <x:c r="G104" s="12" t="n">
        <x:f>B104-F104</x:f>
        <x:v>0.09999999999999432</x:v>
      </x:c>
      <x:c r="H104" s="11" t="str">
        <x:v>Depth</x:v>
      </x:c>
      <x:c r="I104" s="11" t="str">
        <x:v>Michael Pittman</x:v>
      </x:c>
      <x:c r="J104" s="11" t="str">
        <x:v>WR</x:v>
      </x:c>
      <x:c r="K104" s="13" t="n">
        <x:v>43</x:v>
      </x:c>
      <x:c r="L104" s="13" t="str">
        <x:v>PIT</x:v>
      </x:c>
      <x:c r="M104" s="13" t="n">
        <x:v>9</x:v>
      </x:c>
      <x:c r="N104" s="12" t="n">
        <x:v>169.3</x:v>
      </x:c>
      <x:c r="O104" s="12" t="n">
        <x:v>171</x:v>
      </x:c>
      <x:c r="P104" s="12" t="n">
        <x:f>N104-O104</x:f>
        <x:v>-1.6999999999999886</x:v>
      </x:c>
      <x:c r="Q104" s="12" t="n">
        <x:v>169.9</x:v>
      </x:c>
      <x:c r="R104" s="12" t="n">
        <x:v>13.8</x:v>
      </x:c>
      <x:c r="S104" s="12" t="n">
        <x:v>-9.7</x:v>
      </x:c>
      <x:c r="T104" s="11" t="str">
        <x:v>High</x:v>
      </x:c>
      <x:c r="U104" s="13" t="n">
        <x:v>24</x:v>
      </x:c>
      <x:c r="V104" s="13" t="n">
        <x:v>18</x:v>
      </x:c>
      <x:c r="W104" s="11" t="str">
        <x:v>Ques</x:v>
      </x:c>
      <x:c r="X104" s="11" t="str">
        <x:v>Veteran model: 2025 form, prior-year trend and new team pass/run forecast; team pass volume #24, rush volume #18</x:v>
      </x:c>
    </x:row>
    <x:row r="105" ht="19" customHeight="1">
      <x:c r="A105" s="11" t="str">
        <x:v>Available</x:v>
      </x:c>
      <x:c r="B105" s="12" t="n">
        <x:v>103.5</x:v>
      </x:c>
      <x:c r="C105" s="12" t="n">
        <x:f>ROUNDUP(B105/12,0)</x:f>
        <x:v>9</x:v>
      </x:c>
      <x:c r="D105" s="13" t="n">
        <x:v>157</x:v>
      </x:c>
      <x:c r="E105" s="12" t="n">
        <x:f>B105-D105</x:f>
        <x:v>-53.5</x:v>
      </x:c>
      <x:c r="F105" s="13" t="n">
        <x:v>182</x:v>
      </x:c>
      <x:c r="G105" s="12" t="n">
        <x:f>B105-F105</x:f>
        <x:v>-78.5</x:v>
      </x:c>
      <x:c r="H105" s="11" t="str">
        <x:v>Depth</x:v>
      </x:c>
      <x:c r="I105" s="11" t="str">
        <x:v>Blake Corum</x:v>
      </x:c>
      <x:c r="J105" s="11" t="str">
        <x:v>RB</x:v>
      </x:c>
      <x:c r="K105" s="13" t="n">
        <x:v>43</x:v>
      </x:c>
      <x:c r="L105" s="13" t="str">
        <x:v>LAR</x:v>
      </x:c>
      <x:c r="M105" s="13" t="n">
        <x:v>11</x:v>
      </x:c>
      <x:c r="N105" s="12" t="n">
        <x:v>130.9</x:v>
      </x:c>
      <x:c r="O105" s="12" t="n">
        <x:v>135</x:v>
      </x:c>
      <x:c r="P105" s="12" t="n">
        <x:f>N105-O105</x:f>
        <x:v>-4.099999999999994</x:v>
      </x:c>
      <x:c r="Q105" s="12" t="n">
        <x:v>132.3</x:v>
      </x:c>
      <x:c r="R105" s="12" t="n">
        <x:v>12.4</x:v>
      </x:c>
      <x:c r="S105" s="12" t="n">
        <x:v>-33</x:v>
      </x:c>
      <x:c r="T105" s="11" t="str">
        <x:v>High</x:v>
      </x:c>
      <x:c r="U105" s="13" t="n">
        <x:v>7</x:v>
      </x:c>
      <x:c r="V105" s="13" t="n">
        <x:v>14</x:v>
      </x:c>
      <x:c r="W105" s="11"/>
      <x:c r="X105" s="11" t="str">
        <x:v>Veteran model: 2025 form, prior-year trend and same team pass/run forecast; team pass volume #7, rush volume #14</x:v>
      </x:c>
    </x:row>
    <x:row r="106" ht="19" customHeight="1">
      <x:c r="A106" s="11" t="str">
        <x:v>Available</x:v>
      </x:c>
      <x:c r="B106" s="12" t="n">
        <x:v>104.5</x:v>
      </x:c>
      <x:c r="C106" s="12" t="n">
        <x:f>ROUNDUP(B106/12,0)</x:f>
        <x:v>9</x:v>
      </x:c>
      <x:c r="D106" s="13" t="n">
        <x:v>76</x:v>
      </x:c>
      <x:c r="E106" s="12" t="n">
        <x:f>B106-D106</x:f>
        <x:v>28.5</x:v>
      </x:c>
      <x:c r="F106" s="13" t="n">
        <x:v>61</x:v>
      </x:c>
      <x:c r="G106" s="12" t="n">
        <x:f>B106-F106</x:f>
        <x:v>43.5</x:v>
      </x:c>
      <x:c r="H106" s="11" t="str">
        <x:v>Target</x:v>
      </x:c>
      <x:c r="I106" s="11" t="str">
        <x:v>Jordan Addison</x:v>
      </x:c>
      <x:c r="J106" s="11" t="str">
        <x:v>WR</x:v>
      </x:c>
      <x:c r="K106" s="13" t="n">
        <x:v>33</x:v>
      </x:c>
      <x:c r="L106" s="13" t="str">
        <x:v>MIN</x:v>
      </x:c>
      <x:c r="M106" s="13" t="n">
        <x:v>6</x:v>
      </x:c>
      <x:c r="N106" s="12" t="n">
        <x:v>196.6</x:v>
      </x:c>
      <x:c r="O106" s="12" t="n">
        <x:v>172</x:v>
      </x:c>
      <x:c r="P106" s="12" t="n">
        <x:f>N106-O106</x:f>
        <x:v>24.599999999999994</x:v>
      </x:c>
      <x:c r="Q106" s="12" t="n">
        <x:v>188</x:v>
      </x:c>
      <x:c r="R106" s="12" t="n">
        <x:v>14.5</x:v>
      </x:c>
      <x:c r="S106" s="12" t="n">
        <x:v>5.3</x:v>
      </x:c>
      <x:c r="T106" s="11" t="str">
        <x:v>High</x:v>
      </x:c>
      <x:c r="U106" s="13" t="n">
        <x:v>26</x:v>
      </x:c>
      <x:c r="V106" s="13" t="n">
        <x:v>27</x:v>
      </x:c>
      <x:c r="W106" s="11"/>
      <x:c r="X106" s="11" t="str">
        <x:v>Veteran model: 2025 form, prior-year trend and same team pass/run forecast; team pass volume #26, rush volume #27</x:v>
      </x:c>
    </x:row>
    <x:row r="107" ht="19" customHeight="1">
      <x:c r="A107" s="11" t="str">
        <x:v>Available</x:v>
      </x:c>
      <x:c r="B107" s="12" t="n">
        <x:v>104.6</x:v>
      </x:c>
      <x:c r="C107" s="12" t="n">
        <x:f>ROUNDUP(B107/12,0)</x:f>
        <x:v>9</x:v>
      </x:c>
      <x:c r="D107" s="13" t="n">
        <x:v>97</x:v>
      </x:c>
      <x:c r="E107" s="12" t="n">
        <x:f>B107-D107</x:f>
        <x:v>7.599999999999994</x:v>
      </x:c>
      <x:c r="F107" s="13" t="n">
        <x:v>86</x:v>
      </x:c>
      <x:c r="G107" s="12" t="n">
        <x:f>B107-F107</x:f>
        <x:v>18.599999999999994</x:v>
      </x:c>
      <x:c r="H107" s="11" t="str">
        <x:v>Depth</x:v>
      </x:c>
      <x:c r="I107" s="11" t="str">
        <x:v>Jakobi Meyers</x:v>
      </x:c>
      <x:c r="J107" s="11" t="str">
        <x:v>WR</x:v>
      </x:c>
      <x:c r="K107" s="13" t="n">
        <x:v>41</x:v>
      </x:c>
      <x:c r="L107" s="13" t="str">
        <x:v>JAX</x:v>
      </x:c>
      <x:c r="M107" s="13" t="n">
        <x:v>7</x:v>
      </x:c>
      <x:c r="N107" s="12" t="n">
        <x:v>180.1</x:v>
      </x:c>
      <x:c r="O107" s="12" t="n">
        <x:v>169</x:v>
      </x:c>
      <x:c r="P107" s="12" t="n">
        <x:f>N107-O107</x:f>
        <x:v>11.099999999999994</x:v>
      </x:c>
      <x:c r="Q107" s="12" t="n">
        <x:v>176.2</x:v>
      </x:c>
      <x:c r="R107" s="12" t="n">
        <x:v>11.8</x:v>
      </x:c>
      <x:c r="S107" s="12" t="n">
        <x:v>-3.9</x:v>
      </x:c>
      <x:c r="T107" s="11" t="str">
        <x:v>High</x:v>
      </x:c>
      <x:c r="U107" s="13" t="n">
        <x:v>11</x:v>
      </x:c>
      <x:c r="V107" s="13" t="n">
        <x:v>15</x:v>
      </x:c>
      <x:c r="W107" s="11"/>
      <x:c r="X107" s="11" t="str">
        <x:v>Veteran model: 2025 form, prior-year trend and same team pass/run forecast; team pass volume #11, rush volume #15</x:v>
      </x:c>
    </x:row>
    <x:row r="108" ht="19" customHeight="1">
      <x:c r="A108" s="11" t="str">
        <x:v>Available</x:v>
      </x:c>
      <x:c r="B108" s="12" t="n">
        <x:v>107.2</x:v>
      </x:c>
      <x:c r="C108" s="12" t="n">
        <x:f>ROUNDUP(B108/12,0)</x:f>
        <x:v>9</x:v>
      </x:c>
      <x:c r="D108" s="13" t="n">
        <x:v>71</x:v>
      </x:c>
      <x:c r="E108" s="12" t="n">
        <x:f>B108-D108</x:f>
        <x:v>36.2</x:v>
      </x:c>
      <x:c r="F108" s="13" t="n">
        <x:v>58</x:v>
      </x:c>
      <x:c r="G108" s="12" t="n">
        <x:f>B108-F108</x:f>
        <x:v>49.2</x:v>
      </x:c>
      <x:c r="H108" s="11" t="str">
        <x:v>Target</x:v>
      </x:c>
      <x:c r="I108" s="11" t="str">
        <x:v>Patrick Mahomes</x:v>
      </x:c>
      <x:c r="J108" s="11" t="str">
        <x:v>QB</x:v>
      </x:c>
      <x:c r="K108" s="13" t="n">
        <x:v>8</x:v>
      </x:c>
      <x:c r="L108" s="13" t="str">
        <x:v>KC</x:v>
      </x:c>
      <x:c r="M108" s="13" t="n">
        <x:v>5</x:v>
      </x:c>
      <x:c r="N108" s="12" t="n">
        <x:v>302.1</x:v>
      </x:c>
      <x:c r="O108" s="12" t="n">
        <x:v>287</x:v>
      </x:c>
      <x:c r="P108" s="12" t="n">
        <x:f>N108-O108</x:f>
        <x:v>15.100000000000023</x:v>
      </x:c>
      <x:c r="Q108" s="12" t="n">
        <x:v>296.8</x:v>
      </x:c>
      <x:c r="R108" s="12" t="n">
        <x:v>12.3</x:v>
      </x:c>
      <x:c r="S108" s="12" t="n">
        <x:v>7.7</x:v>
      </x:c>
      <x:c r="T108" s="11" t="str">
        <x:v>High</x:v>
      </x:c>
      <x:c r="U108" s="13" t="n">
        <x:v>5</x:v>
      </x:c>
      <x:c r="V108" s="13" t="n">
        <x:v>25</x:v>
      </x:c>
      <x:c r="W108" s="11" t="str">
        <x:v>Ques</x:v>
      </x:c>
      <x:c r="X108" s="11" t="str">
        <x:v>Veteran model: 2025 form, prior-year trend and same team pass/run forecast; team pass volume #5, rush volume #25</x:v>
      </x:c>
    </x:row>
    <x:row r="109" ht="19" customHeight="1">
      <x:c r="A109" s="11" t="str">
        <x:v>Available</x:v>
      </x:c>
      <x:c r="B109" s="12" t="n">
        <x:v>108.9</x:v>
      </x:c>
      <x:c r="C109" s="12" t="n">
        <x:f>ROUNDUP(B109/12,0)</x:f>
        <x:v>10</x:v>
      </x:c>
      <x:c r="D109" s="13" t="n">
        <x:v>70</x:v>
      </x:c>
      <x:c r="E109" s="12" t="n">
        <x:f>B109-D109</x:f>
        <x:v>38.900000000000006</x:v>
      </x:c>
      <x:c r="F109" s="13" t="n">
        <x:v>46</x:v>
      </x:c>
      <x:c r="G109" s="12" t="n">
        <x:f>B109-F109</x:f>
        <x:v>62.900000000000006</x:v>
      </x:c>
      <x:c r="H109" s="11" t="str">
        <x:v>Target</x:v>
      </x:c>
      <x:c r="I109" s="11" t="str">
        <x:v>Quentin Johnston</x:v>
      </x:c>
      <x:c r="J109" s="11" t="str">
        <x:v>WR</x:v>
      </x:c>
      <x:c r="K109" s="13" t="n">
        <x:v>30</x:v>
      </x:c>
      <x:c r="L109" s="13" t="str">
        <x:v>LAC</x:v>
      </x:c>
      <x:c r="M109" s="13" t="n">
        <x:v>7</x:v>
      </x:c>
      <x:c r="N109" s="12" t="n">
        <x:v>207.2</x:v>
      </x:c>
      <x:c r="O109" s="12" t="n">
        <x:v>164</x:v>
      </x:c>
      <x:c r="P109" s="12" t="n">
        <x:f>N109-O109</x:f>
        <x:v>43.19999999999999</x:v>
      </x:c>
      <x:c r="Q109" s="12" t="n">
        <x:v>192.1</x:v>
      </x:c>
      <x:c r="R109" s="12" t="n">
        <x:v>13.1</x:v>
      </x:c>
      <x:c r="S109" s="12" t="n">
        <x:v>7.9</x:v>
      </x:c>
      <x:c r="T109" s="11" t="str">
        <x:v>High</x:v>
      </x:c>
      <x:c r="U109" s="13" t="n">
        <x:v>14</x:v>
      </x:c>
      <x:c r="V109" s="13" t="n">
        <x:v>16</x:v>
      </x:c>
      <x:c r="W109" s="11" t="str">
        <x:v>Ques</x:v>
      </x:c>
      <x:c r="X109" s="11" t="str">
        <x:v>Veteran model: 2025 form, prior-year trend and same team pass/run forecast; team pass volume #14, rush volume #16</x:v>
      </x:c>
    </x:row>
    <x:row r="110" ht="19" customHeight="1">
      <x:c r="A110" s="11" t="str">
        <x:v>Available</x:v>
      </x:c>
      <x:c r="B110" s="12" t="n">
        <x:v>109.6</x:v>
      </x:c>
      <x:c r="C110" s="12" t="n">
        <x:f>ROUNDUP(B110/12,0)</x:f>
        <x:v>10</x:v>
      </x:c>
      <x:c r="D110" s="13" t="n">
        <x:v>113</x:v>
      </x:c>
      <x:c r="E110" s="12" t="n">
        <x:f>B110-D110</x:f>
        <x:v>-3.4000000000000057</x:v>
      </x:c>
      <x:c r="F110" s="13" t="n">
        <x:v>111</x:v>
      </x:c>
      <x:c r="G110" s="12" t="n">
        <x:f>B110-F110</x:f>
        <x:v>-1.4000000000000057</x:v>
      </x:c>
      <x:c r="H110" s="11" t="str">
        <x:v>Depth</x:v>
      </x:c>
      <x:c r="I110" s="11" t="str">
        <x:v>Josh Downs</x:v>
      </x:c>
      <x:c r="J110" s="11" t="str">
        <x:v>WR</x:v>
      </x:c>
      <x:c r="K110" s="13" t="n">
        <x:v>44</x:v>
      </x:c>
      <x:c r="L110" s="13" t="str">
        <x:v>IND</x:v>
      </x:c>
      <x:c r="M110" s="13" t="n">
        <x:v>13</x:v>
      </x:c>
      <x:c r="N110" s="12" t="n">
        <x:v>164.7</x:v>
      </x:c>
      <x:c r="O110" s="12" t="n">
        <x:v>172</x:v>
      </x:c>
      <x:c r="P110" s="12" t="n">
        <x:f>N110-O110</x:f>
        <x:v>-7.300000000000011</x:v>
      </x:c>
      <x:c r="Q110" s="12" t="n">
        <x:v>167.2</x:v>
      </x:c>
      <x:c r="R110" s="12" t="n">
        <x:v>12.5</x:v>
      </x:c>
      <x:c r="S110" s="12" t="n">
        <x:v>-10.7</x:v>
      </x:c>
      <x:c r="T110" s="11" t="str">
        <x:v>High</x:v>
      </x:c>
      <x:c r="U110" s="13" t="n">
        <x:v>21</x:v>
      </x:c>
      <x:c r="V110" s="13" t="n">
        <x:v>13</x:v>
      </x:c>
      <x:c r="W110" s="11"/>
      <x:c r="X110" s="11" t="str">
        <x:v>Veteran model: 2025 form, prior-year trend and same team pass/run forecast; team pass volume #21, rush volume #13</x:v>
      </x:c>
    </x:row>
    <x:row r="111" ht="19" customHeight="1">
      <x:c r="A111" s="11" t="str">
        <x:v>Available</x:v>
      </x:c>
      <x:c r="B111" s="12" t="n">
        <x:v>110.8</x:v>
      </x:c>
      <x:c r="C111" s="12" t="n">
        <x:f>ROUNDUP(B111/12,0)</x:f>
        <x:v>10</x:v>
      </x:c>
      <x:c r="D111" s="13" t="n">
        <x:v>57</x:v>
      </x:c>
      <x:c r="E111" s="12" t="n">
        <x:f>B111-D111</x:f>
        <x:v>53.8</x:v>
      </x:c>
      <x:c r="F111" s="13" t="n">
        <x:v>38</x:v>
      </x:c>
      <x:c r="G111" s="12" t="n">
        <x:f>B111-F111</x:f>
        <x:v>72.8</x:v>
      </x:c>
      <x:c r="H111" s="11" t="str">
        <x:v>Target</x:v>
      </x:c>
      <x:c r="I111" s="11" t="str">
        <x:v>Wan'Dale Robinson</x:v>
      </x:c>
      <x:c r="J111" s="11" t="str">
        <x:v>WR</x:v>
      </x:c>
      <x:c r="K111" s="13" t="n">
        <x:v>25</x:v>
      </x:c>
      <x:c r="L111" s="13" t="str">
        <x:v>TEN</x:v>
      </x:c>
      <x:c r="M111" s="13" t="n">
        <x:v>9</x:v>
      </x:c>
      <x:c r="N111" s="12" t="n">
        <x:v>212.1</x:v>
      </x:c>
      <x:c r="O111" s="12" t="n">
        <x:v>171</x:v>
      </x:c>
      <x:c r="P111" s="12" t="n">
        <x:f>N111-O111</x:f>
        <x:v>41.099999999999994</x:v>
      </x:c>
      <x:c r="Q111" s="12" t="n">
        <x:v>197.7</x:v>
      </x:c>
      <x:c r="R111" s="12" t="n">
        <x:v>15.1</x:v>
      </x:c>
      <x:c r="S111" s="12" t="n">
        <x:v>14.1</x:v>
      </x:c>
      <x:c r="T111" s="11" t="str">
        <x:v>High</x:v>
      </x:c>
      <x:c r="U111" s="13" t="n">
        <x:v>18</x:v>
      </x:c>
      <x:c r="V111" s="13" t="n">
        <x:v>30</x:v>
      </x:c>
      <x:c r="W111" s="11"/>
      <x:c r="X111" s="11" t="str">
        <x:v>Veteran model: 2025 form, prior-year trend and new team pass/run forecast; team pass volume #18, rush volume #30</x:v>
      </x:c>
    </x:row>
    <x:row r="112" ht="19" customHeight="1">
      <x:c r="A112" s="11" t="str">
        <x:v>Available</x:v>
      </x:c>
      <x:c r="B112" s="12" t="n">
        <x:v>111.4</x:v>
      </x:c>
      <x:c r="C112" s="12" t="n">
        <x:f>ROUNDUP(B112/12,0)</x:f>
        <x:v>10</x:v>
      </x:c>
      <x:c r="D112" s="13" t="n">
        <x:v>124</x:v>
      </x:c>
      <x:c r="E112" s="12" t="n">
        <x:f>B112-D112</x:f>
        <x:v>-12.599999999999994</x:v>
      </x:c>
      <x:c r="F112" s="13" t="n">
        <x:v>135</x:v>
      </x:c>
      <x:c r="G112" s="12" t="n">
        <x:f>B112-F112</x:f>
        <x:v>-23.599999999999994</x:v>
      </x:c>
      <x:c r="H112" s="11" t="str">
        <x:v>Depth</x:v>
      </x:c>
      <x:c r="I112" s="11" t="str">
        <x:v>Kenny Gainwell</x:v>
      </x:c>
      <x:c r="J112" s="11" t="str">
        <x:v>RB</x:v>
      </x:c>
      <x:c r="K112" s="13" t="n">
        <x:v>32</x:v>
      </x:c>
      <x:c r="L112" s="13" t="str">
        <x:v>TB</x:v>
      </x:c>
      <x:c r="M112" s="13" t="n">
        <x:v>10</x:v>
      </x:c>
      <x:c r="N112" s="12" t="n">
        <x:v>158.2</x:v>
      </x:c>
      <x:c r="O112" s="12" t="n">
        <x:v>152</x:v>
      </x:c>
      <x:c r="P112" s="12" t="n">
        <x:f>N112-O112</x:f>
        <x:v>6.199999999999989</x:v>
      </x:c>
      <x:c r="Q112" s="12" t="n">
        <x:v>156</x:v>
      </x:c>
      <x:c r="R112" s="12" t="n">
        <x:v>13.5</x:v>
      </x:c>
      <x:c r="S112" s="12" t="n">
        <x:v>-17.2</x:v>
      </x:c>
      <x:c r="T112" s="11" t="str">
        <x:v>High</x:v>
      </x:c>
      <x:c r="U112" s="13" t="n">
        <x:v>12</x:v>
      </x:c>
      <x:c r="V112" s="13" t="n">
        <x:v>11</x:v>
      </x:c>
      <x:c r="W112" s="11"/>
      <x:c r="X112" s="11" t="str">
        <x:v>Veteran model: 2025 form, prior-year trend and new team pass/run forecast; team pass volume #12, rush volume #11</x:v>
      </x:c>
    </x:row>
    <x:row r="113" ht="19" customHeight="1">
      <x:c r="A113" s="11" t="str">
        <x:v>Available</x:v>
      </x:c>
      <x:c r="B113" s="12" t="n">
        <x:v>111.9</x:v>
      </x:c>
      <x:c r="C113" s="12" t="n">
        <x:f>ROUNDUP(B113/12,0)</x:f>
        <x:v>10</x:v>
      </x:c>
      <x:c r="D113" s="13" t="n">
        <x:v>152</x:v>
      </x:c>
      <x:c r="E113" s="12" t="n">
        <x:f>B113-D113</x:f>
        <x:v>-40.099999999999994</x:v>
      </x:c>
      <x:c r="F113" s="13" t="n">
        <x:v>161</x:v>
      </x:c>
      <x:c r="G113" s="12" t="n">
        <x:f>B113-F113</x:f>
        <x:v>-49.099999999999994</x:v>
      </x:c>
      <x:c r="H113" s="11" t="str">
        <x:v>Depth</x:v>
      </x:c>
      <x:c r="I113" s="11" t="str">
        <x:v>Jacory Croskey-Merritt</x:v>
      </x:c>
      <x:c r="J113" s="11" t="str">
        <x:v>RB</x:v>
      </x:c>
      <x:c r="K113" s="13" t="n">
        <x:v>42</x:v>
      </x:c>
      <x:c r="L113" s="13" t="str">
        <x:v>WAS</x:v>
      </x:c>
      <x:c r="M113" s="13" t="n">
        <x:v>7</x:v>
      </x:c>
      <x:c r="N113" s="12" t="n">
        <x:v>142.5</x:v>
      </x:c>
      <x:c r="O113" s="12" t="n">
        <x:v>128</x:v>
      </x:c>
      <x:c r="P113" s="12" t="n">
        <x:f>N113-O113</x:f>
        <x:v>14.5</x:v>
      </x:c>
      <x:c r="Q113" s="12" t="n">
        <x:v>135.2</x:v>
      </x:c>
      <x:c r="R113" s="12" t="n">
        <x:v>12.2</x:v>
      </x:c>
      <x:c r="S113" s="12" t="n">
        <x:v>-30.4</x:v>
      </x:c>
      <x:c r="T113" s="11" t="str">
        <x:v>Medium</x:v>
      </x:c>
      <x:c r="U113" s="13" t="n">
        <x:v>29</x:v>
      </x:c>
      <x:c r="V113" s="13" t="n">
        <x:v>8</x:v>
      </x:c>
      <x:c r="W113" s="11"/>
      <x:c r="X113" s="11" t="str">
        <x:v>Veteran model: 2025 form, prior-year trend and same team pass/run forecast; team pass volume #29, rush volume #8</x:v>
      </x:c>
    </x:row>
    <x:row r="114" ht="19" customHeight="1">
      <x:c r="A114" s="11" t="str">
        <x:v>Available</x:v>
      </x:c>
      <x:c r="B114" s="12" t="n">
        <x:v>113.7</x:v>
      </x:c>
      <x:c r="C114" s="12" t="n">
        <x:f>ROUNDUP(B114/12,0)</x:f>
        <x:v>10</x:v>
      </x:c>
      <x:c r="D114" s="13" t="n">
        <x:v>147</x:v>
      </x:c>
      <x:c r="E114" s="12" t="n">
        <x:f>B114-D114</x:f>
        <x:v>-33.3</x:v>
      </x:c>
      <x:c r="F114" s="13" t="n">
        <x:v>210</x:v>
      </x:c>
      <x:c r="G114" s="12" t="n">
        <x:f>B114-F114</x:f>
        <x:v>-96.3</x:v>
      </x:c>
      <x:c r="H114" s="11" t="str">
        <x:v>Depth</x:v>
      </x:c>
      <x:c r="I114" s="11" t="str">
        <x:v>Isaiah Likely</x:v>
      </x:c>
      <x:c r="J114" s="11" t="str">
        <x:v>TE</x:v>
      </x:c>
      <x:c r="K114" s="13" t="n">
        <x:v>26</x:v>
      </x:c>
      <x:c r="L114" s="13" t="str">
        <x:v>NYG</x:v>
      </x:c>
      <x:c r="M114" s="13" t="n">
        <x:v>8</x:v>
      </x:c>
      <x:c r="N114" s="12" t="n">
        <x:v>95.4</x:v>
      </x:c>
      <x:c r="O114" s="12" t="n">
        <x:v>157</x:v>
      </x:c>
      <x:c r="P114" s="12" t="n">
        <x:f>N114-O114</x:f>
        <x:v>-61.599999999999994</x:v>
      </x:c>
      <x:c r="Q114" s="12" t="n">
        <x:v>117</x:v>
      </x:c>
      <x:c r="R114" s="12" t="n">
        <x:v>12.6</x:v>
      </x:c>
      <x:c r="S114" s="12" t="n">
        <x:v>-26.8</x:v>
      </x:c>
      <x:c r="T114" s="11" t="str">
        <x:v>High</x:v>
      </x:c>
      <x:c r="U114" s="13" t="n">
        <x:v>19</x:v>
      </x:c>
      <x:c r="V114" s="13" t="n">
        <x:v>10</x:v>
      </x:c>
      <x:c r="W114" s="11"/>
      <x:c r="X114" s="11" t="str">
        <x:v>Veteran model: 2025 form, prior-year trend and new team pass/run forecast; team pass volume #19, rush volume #10</x:v>
      </x:c>
    </x:row>
    <x:row r="115" ht="19" customHeight="1">
      <x:c r="A115" s="11" t="str">
        <x:v>Available</x:v>
      </x:c>
      <x:c r="B115" s="12" t="n">
        <x:v>114.5</x:v>
      </x:c>
      <x:c r="C115" s="12" t="n">
        <x:f>ROUNDUP(B115/12,0)</x:f>
        <x:v>10</x:v>
      </x:c>
      <x:c r="D115" s="13" t="n">
        <x:v>79</x:v>
      </x:c>
      <x:c r="E115" s="12" t="n">
        <x:f>B115-D115</x:f>
        <x:v>35.5</x:v>
      </x:c>
      <x:c r="F115" s="13" t="n">
        <x:v>127</x:v>
      </x:c>
      <x:c r="G115" s="12" t="n">
        <x:f>B115-F115</x:f>
        <x:v>-12.5</x:v>
      </x:c>
      <x:c r="H115" s="11" t="str">
        <x:v>Target</x:v>
      </x:c>
      <x:c r="I115" s="11" t="str">
        <x:v>Jayden Reed</x:v>
      </x:c>
      <x:c r="J115" s="11" t="str">
        <x:v>WR</x:v>
      </x:c>
      <x:c r="K115" s="13" t="n">
        <x:v>34</x:v>
      </x:c>
      <x:c r="L115" s="13" t="str">
        <x:v>GB</x:v>
      </x:c>
      <x:c r="M115" s="13" t="n">
        <x:v>11</x:v>
      </x:c>
      <x:c r="N115" s="12" t="n">
        <x:v>156.2</x:v>
      </x:c>
      <x:c r="O115" s="12" t="n">
        <x:v>198</x:v>
      </x:c>
      <x:c r="P115" s="12" t="n">
        <x:f>N115-O115</x:f>
        <x:v>-41.80000000000001</x:v>
      </x:c>
      <x:c r="Q115" s="12" t="n">
        <x:v>187.6</x:v>
      </x:c>
      <x:c r="R115" s="12" t="n">
        <x:v>11</x:v>
      </x:c>
      <x:c r="S115" s="12" t="n">
        <x:v>3.8</x:v>
      </x:c>
      <x:c r="T115" s="11" t="str">
        <x:v>Low</x:v>
      </x:c>
      <x:c r="U115" s="13" t="n">
        <x:v>30</x:v>
      </x:c>
      <x:c r="V115" s="13" t="n">
        <x:v>4</x:v>
      </x:c>
      <x:c r="W115" s="11"/>
      <x:c r="X115" s="11" t="str">
        <x:v>Veteran model: 2025 form, prior-year trend and same team pass/run forecast; team pass volume #30, rush volume #4</x:v>
      </x:c>
    </x:row>
    <x:row r="116" ht="19" customHeight="1">
      <x:c r="A116" s="11" t="str">
        <x:v>Available</x:v>
      </x:c>
      <x:c r="B116" s="12" t="n">
        <x:v>115.9</x:v>
      </x:c>
      <x:c r="C116" s="12" t="n">
        <x:f>ROUNDUP(B116/12,0)</x:f>
        <x:v>10</x:v>
      </x:c>
      <x:c r="D116" s="13" t="n">
        <x:v>117</x:v>
      </x:c>
      <x:c r="E116" s="12" t="n">
        <x:f>B116-D116</x:f>
        <x:v>-1.0999999999999943</x:v>
      </x:c>
      <x:c r="F116" s="13" t="n">
        <x:v>109</x:v>
      </x:c>
      <x:c r="G116" s="12" t="n">
        <x:f>B116-F116</x:f>
        <x:v>6.900000000000006</x:v>
      </x:c>
      <x:c r="H116" s="11" t="str">
        <x:v>Depth</x:v>
      </x:c>
      <x:c r="I116" s="11" t="str">
        <x:v>Stefon Diggs</x:v>
      </x:c>
      <x:c r="J116" s="11" t="str">
        <x:v>WR</x:v>
      </x:c>
      <x:c r="K116" s="13" t="n">
        <x:v>48</x:v>
      </x:c>
      <x:c r="L116" s="13" t="str">
        <x:v>WAS</x:v>
      </x:c>
      <x:c r="M116" s="13" t="n">
        <x:v>7</x:v>
      </x:c>
      <x:c r="N116" s="12" t="n">
        <x:v>165.6</x:v>
      </x:c>
      <x:c r="O116" s="12" t="n">
        <x:v>157</x:v>
      </x:c>
      <x:c r="P116" s="12" t="n">
        <x:f>N116-O116</x:f>
        <x:v>8.599999999999994</x:v>
      </x:c>
      <x:c r="Q116" s="12" t="n">
        <x:v>162.6</x:v>
      </x:c>
      <x:c r="R116" s="12" t="n">
        <x:v>12.1</x:v>
      </x:c>
      <x:c r="S116" s="12" t="n">
        <x:v>-13.7</x:v>
      </x:c>
      <x:c r="T116" s="11" t="str">
        <x:v>High</x:v>
      </x:c>
      <x:c r="U116" s="13" t="n">
        <x:v>29</x:v>
      </x:c>
      <x:c r="V116" s="13" t="n">
        <x:v>8</x:v>
      </x:c>
      <x:c r="W116" s="11"/>
      <x:c r="X116" s="11" t="str">
        <x:v>Veteran model: 2025 form, prior-year trend and new team pass/run forecast; team pass volume #29, rush volume #8</x:v>
      </x:c>
    </x:row>
    <x:row r="117" ht="19" customHeight="1">
      <x:c r="A117" s="11" t="str">
        <x:v>Available</x:v>
      </x:c>
      <x:c r="B117" s="12" t="n">
        <x:v>116.6</x:v>
      </x:c>
      <x:c r="C117" s="12" t="n">
        <x:f>ROUNDUP(B117/12,0)</x:f>
        <x:v>10</x:v>
      </x:c>
      <x:c r="D117" s="13" t="n">
        <x:v>119</x:v>
      </x:c>
      <x:c r="E117" s="12" t="n">
        <x:f>B117-D117</x:f>
        <x:v>-2.4000000000000057</x:v>
      </x:c>
      <x:c r="F117" s="13" t="n">
        <x:v>180</x:v>
      </x:c>
      <x:c r="G117" s="12" t="n">
        <x:f>B117-F117</x:f>
        <x:v>-63.400000000000006</x:v>
      </x:c>
      <x:c r="H117" s="11" t="str">
        <x:v>Depth</x:v>
      </x:c>
      <x:c r="I117" s="11" t="str">
        <x:v>Jonathon Brooks</x:v>
      </x:c>
      <x:c r="J117" s="11" t="str">
        <x:v>RB</x:v>
      </x:c>
      <x:c r="K117" s="13" t="n">
        <x:v>38</x:v>
      </x:c>
      <x:c r="L117" s="13" t="str">
        <x:v>CAR</x:v>
      </x:c>
      <x:c r="M117" s="13" t="n">
        <x:v>5</x:v>
      </x:c>
      <x:c r="N117" s="12" t="n">
        <x:v>96.2</x:v>
      </x:c>
      <x:c r="O117" s="12" t="n">
        <x:v>155</x:v>
      </x:c>
      <x:c r="P117" s="12" t="n">
        <x:f>N117-O117</x:f>
        <x:v>-58.8</x:v>
      </x:c>
      <x:c r="Q117" s="12" t="n">
        <x:v>140.3</x:v>
      </x:c>
      <x:c r="R117" s="12" t="n">
        <x:v>7.2</x:v>
      </x:c>
      <x:c r="S117" s="12" t="n">
        <x:v>-15.8</x:v>
      </x:c>
      <x:c r="T117" s="11" t="str">
        <x:v>Low</x:v>
      </x:c>
      <x:c r="U117" s="13" t="n">
        <x:v>22</x:v>
      </x:c>
      <x:c r="V117" s="13" t="n">
        <x:v>23</x:v>
      </x:c>
      <x:c r="W117" s="11"/>
      <x:c r="X117" s="11" t="str">
        <x:v>Veteran model: 2024 form, prior-year trend and same team pass/run forecast; team pass volume #22, rush volume #23</x:v>
      </x:c>
    </x:row>
    <x:row r="118" ht="19" customHeight="1">
      <x:c r="A118" s="11" t="str">
        <x:v>Available</x:v>
      </x:c>
      <x:c r="B118" s="12" t="n">
        <x:v>117.9</x:v>
      </x:c>
      <x:c r="C118" s="12" t="n">
        <x:f>ROUNDUP(B118/12,0)</x:f>
        <x:v>10</x:v>
      </x:c>
      <x:c r="D118" s="13" t="n">
        <x:v>104</x:v>
      </x:c>
      <x:c r="E118" s="12" t="n">
        <x:f>B118-D118</x:f>
        <x:v>13.900000000000006</x:v>
      </x:c>
      <x:c r="F118" s="13" t="n">
        <x:v>103</x:v>
      </x:c>
      <x:c r="G118" s="12" t="n">
        <x:f>B118-F118</x:f>
        <x:v>14.900000000000006</x:v>
      </x:c>
      <x:c r="H118" s="11" t="str">
        <x:v>Depth</x:v>
      </x:c>
      <x:c r="I118" s="11" t="str">
        <x:v>Oronde Gadsden</x:v>
      </x:c>
      <x:c r="J118" s="11" t="str">
        <x:v>TE</x:v>
      </x:c>
      <x:c r="K118" s="13" t="n">
        <x:v>18</x:v>
      </x:c>
      <x:c r="L118" s="13" t="str">
        <x:v>LAC</x:v>
      </x:c>
      <x:c r="M118" s="13" t="n">
        <x:v>7</x:v>
      </x:c>
      <x:c r="N118" s="12" t="n">
        <x:v>147.1</x:v>
      </x:c>
      <x:c r="O118" s="12" t="n">
        <x:v>142</x:v>
      </x:c>
      <x:c r="P118" s="12" t="n">
        <x:f>N118-O118</x:f>
        <x:v>5.099999999999994</x:v>
      </x:c>
      <x:c r="Q118" s="12" t="n">
        <x:v>144.5</x:v>
      </x:c>
      <x:c r="R118" s="12" t="n">
        <x:v>12.9</x:v>
      </x:c>
      <x:c r="S118" s="12" t="n">
        <x:v>-6.6</x:v>
      </x:c>
      <x:c r="T118" s="11" t="str">
        <x:v>Medium</x:v>
      </x:c>
      <x:c r="U118" s="13" t="n">
        <x:v>14</x:v>
      </x:c>
      <x:c r="V118" s="13" t="n">
        <x:v>16</x:v>
      </x:c>
      <x:c r="W118" s="11"/>
      <x:c r="X118" s="11" t="str">
        <x:v>Veteran model: 2025 form, prior-year trend and same team pass/run forecast; team pass volume #14, rush volume #16</x:v>
      </x:c>
    </x:row>
    <x:row r="119" ht="19" customHeight="1">
      <x:c r="A119" s="11" t="str">
        <x:v>Available</x:v>
      </x:c>
      <x:c r="B119" s="12" t="n">
        <x:v>118.7</x:v>
      </x:c>
      <x:c r="C119" s="12" t="n">
        <x:f>ROUNDUP(B119/12,0)</x:f>
        <x:v>10</x:v>
      </x:c>
      <x:c r="D119" s="13" t="n">
        <x:v>151</x:v>
      </x:c>
      <x:c r="E119" s="12" t="n">
        <x:f>B119-D119</x:f>
        <x:v>-32.3</x:v>
      </x:c>
      <x:c r="F119" s="13" t="n">
        <x:v>191</x:v>
      </x:c>
      <x:c r="G119" s="12" t="n">
        <x:f>B119-F119</x:f>
        <x:v>-72.3</x:v>
      </x:c>
      <x:c r="H119" s="11" t="str">
        <x:v>Depth</x:v>
      </x:c>
      <x:c r="I119" s="11" t="str">
        <x:v>Jordan Mason</x:v>
      </x:c>
      <x:c r="J119" s="11" t="str">
        <x:v>RB</x:v>
      </x:c>
      <x:c r="K119" s="13" t="n">
        <x:v>44</x:v>
      </x:c>
      <x:c r="L119" s="13" t="str">
        <x:v>MIN</x:v>
      </x:c>
      <x:c r="M119" s="13" t="n">
        <x:v>6</x:v>
      </x:c>
      <x:c r="N119" s="12" t="n">
        <x:v>120.5</x:v>
      </x:c>
      <x:c r="O119" s="12" t="n">
        <x:v>154</x:v>
      </x:c>
      <x:c r="P119" s="12" t="n">
        <x:f>N119-O119</x:f>
        <x:v>-33.5</x:v>
      </x:c>
      <x:c r="Q119" s="12" t="n">
        <x:v>132.2</x:v>
      </x:c>
      <x:c r="R119" s="12" t="n">
        <x:v>11</x:v>
      </x:c>
      <x:c r="S119" s="12" t="n">
        <x:v>-29.4</x:v>
      </x:c>
      <x:c r="T119" s="11" t="str">
        <x:v>High</x:v>
      </x:c>
      <x:c r="U119" s="13" t="n">
        <x:v>26</x:v>
      </x:c>
      <x:c r="V119" s="13" t="n">
        <x:v>27</x:v>
      </x:c>
      <x:c r="W119" s="11"/>
      <x:c r="X119" s="11" t="str">
        <x:v>Veteran model: 2025 form, prior-year trend and same team pass/run forecast; team pass volume #26, rush volume #27</x:v>
      </x:c>
    </x:row>
    <x:row r="120" ht="19" customHeight="1">
      <x:c r="A120" s="11" t="str">
        <x:v>Available</x:v>
      </x:c>
      <x:c r="B120" s="12" t="n">
        <x:v>120.7</x:v>
      </x:c>
      <x:c r="C120" s="12" t="n">
        <x:f>ROUNDUP(B120/12,0)</x:f>
        <x:v>11</x:v>
      </x:c>
      <x:c r="D120" s="13" t="n">
        <x:v>91</x:v>
      </x:c>
      <x:c r="E120" s="12" t="n">
        <x:f>B120-D120</x:f>
        <x:v>29.700000000000003</x:v>
      </x:c>
      <x:c r="F120" s="13" t="n">
        <x:v>116</x:v>
      </x:c>
      <x:c r="G120" s="12" t="n">
        <x:f>B120-F120</x:f>
        <x:v>4.700000000000003</x:v>
      </x:c>
      <x:c r="H120" s="11" t="str">
        <x:v>Depth</x:v>
      </x:c>
      <x:c r="I120" s="11" t="str">
        <x:v>Brock Purdy</x:v>
      </x:c>
      <x:c r="J120" s="11" t="str">
        <x:v>QB</x:v>
      </x:c>
      <x:c r="K120" s="13" t="n">
        <x:v>14</x:v>
      </x:c>
      <x:c r="L120" s="13" t="str">
        <x:v>SF</x:v>
      </x:c>
      <x:c r="M120" s="13" t="n">
        <x:v>8</x:v>
      </x:c>
      <x:c r="N120" s="12" t="n">
        <x:v>262.9</x:v>
      </x:c>
      <x:c r="O120" s="12" t="n">
        <x:v>303</x:v>
      </x:c>
      <x:c r="P120" s="12" t="n">
        <x:f>N120-O120</x:f>
        <x:v>-40.10000000000002</x:v>
      </x:c>
      <x:c r="Q120" s="12" t="n">
        <x:v>282.9</x:v>
      </x:c>
      <x:c r="R120" s="12" t="n">
        <x:v>11.6</x:v>
      </x:c>
      <x:c r="S120" s="12" t="n">
        <x:v>-2.3</x:v>
      </x:c>
      <x:c r="T120" s="11" t="str">
        <x:v>Medium</x:v>
      </x:c>
      <x:c r="U120" s="13" t="n">
        <x:v>16</x:v>
      </x:c>
      <x:c r="V120" s="13" t="n">
        <x:v>9</x:v>
      </x:c>
      <x:c r="W120" s="11"/>
      <x:c r="X120" s="11" t="str">
        <x:v>Veteran model: 2025 form, prior-year trend and same team pass/run forecast; team pass volume #16, rush volume #9</x:v>
      </x:c>
    </x:row>
    <x:row r="121" ht="19" customHeight="1">
      <x:c r="A121" s="11" t="str">
        <x:v>Available</x:v>
      </x:c>
      <x:c r="B121" s="12" t="n">
        <x:v>121.1</x:v>
      </x:c>
      <x:c r="C121" s="12" t="n">
        <x:f>ROUNDUP(B121/12,0)</x:f>
        <x:v>11</x:v>
      </x:c>
      <x:c r="D121" s="13" t="n">
        <x:v>58</x:v>
      </x:c>
      <x:c r="E121" s="12" t="n">
        <x:f>B121-D121</x:f>
        <x:v>63.099999999999994</x:v>
      </x:c>
      <x:c r="F121" s="13" t="n">
        <x:v>48</x:v>
      </x:c>
      <x:c r="G121" s="12" t="n">
        <x:f>B121-F121</x:f>
        <x:v>73.1</x:v>
      </x:c>
      <x:c r="H121" s="11" t="str">
        <x:v>Target</x:v>
      </x:c>
      <x:c r="I121" s="11" t="str">
        <x:v>Bo Nix</x:v>
      </x:c>
      <x:c r="J121" s="11" t="str">
        <x:v>QB</x:v>
      </x:c>
      <x:c r="K121" s="13" t="n">
        <x:v>5</x:v>
      </x:c>
      <x:c r="L121" s="13" t="str">
        <x:v>DEN</x:v>
      </x:c>
      <x:c r="M121" s="13" t="n">
        <x:v>10</x:v>
      </x:c>
      <x:c r="N121" s="12" t="n">
        <x:v>304.3</x:v>
      </x:c>
      <x:c r="O121" s="12" t="n">
        <x:v>296</x:v>
      </x:c>
      <x:c r="P121" s="12" t="n">
        <x:f>N121-O121</x:f>
        <x:v>8.300000000000011</x:v>
      </x:c>
      <x:c r="Q121" s="12" t="n">
        <x:v>301.4</x:v>
      </x:c>
      <x:c r="R121" s="12" t="n">
        <x:v>14.4</x:v>
      </x:c>
      <x:c r="S121" s="12" t="n">
        <x:v>12.9</x:v>
      </x:c>
      <x:c r="T121" s="11" t="str">
        <x:v>High</x:v>
      </x:c>
      <x:c r="U121" s="13" t="n">
        <x:v>6</x:v>
      </x:c>
      <x:c r="V121" s="13" t="n">
        <x:v>19</x:v>
      </x:c>
      <x:c r="W121" s="11"/>
      <x:c r="X121" s="11" t="str">
        <x:v>Veteran model: 2025 form, prior-year trend and same team pass/run forecast; team pass volume #6, rush volume #19</x:v>
      </x:c>
    </x:row>
    <x:row r="122" ht="19" customHeight="1">
      <x:c r="A122" s="11" t="str">
        <x:v>Available</x:v>
      </x:c>
      <x:c r="B122" s="12" t="n">
        <x:v>123</x:v>
      </x:c>
      <x:c r="C122" s="12" t="n">
        <x:f>ROUNDUP(B122/12,0)</x:f>
        <x:v>11</x:v>
      </x:c>
      <x:c r="D122" s="13" t="n">
        <x:v>132</x:v>
      </x:c>
      <x:c r="E122" s="12" t="n">
        <x:f>B122-D122</x:f>
        <x:v>-9</x:v>
      </x:c>
      <x:c r="F122" s="13" t="n">
        <x:v>140</x:v>
      </x:c>
      <x:c r="G122" s="12" t="n">
        <x:f>B122-F122</x:f>
        <x:v>-17</x:v>
      </x:c>
      <x:c r="H122" s="11" t="str">
        <x:v>Depth</x:v>
      </x:c>
      <x:c r="I122" s="11" t="str">
        <x:v>Aaron Jones</x:v>
      </x:c>
      <x:c r="J122" s="11" t="str">
        <x:v>RB</x:v>
      </x:c>
      <x:c r="K122" s="13" t="n">
        <x:v>37</x:v>
      </x:c>
      <x:c r="L122" s="13" t="str">
        <x:v>MIN</x:v>
      </x:c>
      <x:c r="M122" s="13" t="n">
        <x:v>6</x:v>
      </x:c>
      <x:c r="N122" s="12" t="n">
        <x:v>148</x:v>
      </x:c>
      <x:c r="O122" s="12" t="n">
        <x:v>137</x:v>
      </x:c>
      <x:c r="P122" s="12" t="n">
        <x:f>N122-O122</x:f>
        <x:v>11</x:v>
      </x:c>
      <x:c r="Q122" s="12" t="n">
        <x:v>144.2</x:v>
      </x:c>
      <x:c r="R122" s="12" t="n">
        <x:v>10</x:v>
      </x:c>
      <x:c r="S122" s="12" t="n">
        <x:v>-19.6</x:v>
      </x:c>
      <x:c r="T122" s="11" t="str">
        <x:v>High</x:v>
      </x:c>
      <x:c r="U122" s="13" t="n">
        <x:v>26</x:v>
      </x:c>
      <x:c r="V122" s="13" t="n">
        <x:v>27</x:v>
      </x:c>
      <x:c r="W122" s="11"/>
      <x:c r="X122" s="11" t="str">
        <x:v>Veteran model: 2025 form, prior-year trend and same team pass/run forecast; team pass volume #26, rush volume #27</x:v>
      </x:c>
    </x:row>
    <x:row r="123" ht="19" customHeight="1">
      <x:c r="A123" s="11" t="str">
        <x:v>Available</x:v>
      </x:c>
      <x:c r="B123" s="12" t="n">
        <x:v>124.2</x:v>
      </x:c>
      <x:c r="C123" s="12" t="n">
        <x:f>ROUNDUP(B123/12,0)</x:f>
        <x:v>11</x:v>
      </x:c>
      <x:c r="D123" s="13" t="n">
        <x:v>90</x:v>
      </x:c>
      <x:c r="E123" s="12" t="n">
        <x:f>B123-D123</x:f>
        <x:v>34.2</x:v>
      </x:c>
      <x:c r="F123" s="13" t="n">
        <x:v>87</x:v>
      </x:c>
      <x:c r="G123" s="12" t="n">
        <x:f>B123-F123</x:f>
        <x:v>37.2</x:v>
      </x:c>
      <x:c r="H123" s="11" t="str">
        <x:v>Depth</x:v>
      </x:c>
      <x:c r="I123" s="11" t="str">
        <x:v>Dallas Goedert</x:v>
      </x:c>
      <x:c r="J123" s="11" t="str">
        <x:v>TE</x:v>
      </x:c>
      <x:c r="K123" s="13" t="n">
        <x:v>14</x:v>
      </x:c>
      <x:c r="L123" s="13" t="str">
        <x:v>PHI</x:v>
      </x:c>
      <x:c r="M123" s="13" t="n">
        <x:v>10</x:v>
      </x:c>
      <x:c r="N123" s="12" t="n">
        <x:v>158.9</x:v>
      </x:c>
      <x:c r="O123" s="12" t="n">
        <x:v>136</x:v>
      </x:c>
      <x:c r="P123" s="12" t="n">
        <x:f>N123-O123</x:f>
        <x:v>22.900000000000006</x:v>
      </x:c>
      <x:c r="Q123" s="12" t="n">
        <x:v>150.9</x:v>
      </x:c>
      <x:c r="R123" s="12" t="n">
        <x:v>13</x:v>
      </x:c>
      <x:c r="S123" s="12" t="n">
        <x:v>-1.8</x:v>
      </x:c>
      <x:c r="T123" s="11" t="str">
        <x:v>High</x:v>
      </x:c>
      <x:c r="U123" s="13" t="n">
        <x:v>31</x:v>
      </x:c>
      <x:c r="V123" s="13" t="n">
        <x:v>2</x:v>
      </x:c>
      <x:c r="W123" s="11"/>
      <x:c r="X123" s="11" t="str">
        <x:v>Veteran model: 2025 form, prior-year trend and same team pass/run forecast; team pass volume #31, rush volume #2</x:v>
      </x:c>
    </x:row>
    <x:row r="124" ht="19" customHeight="1">
      <x:c r="A124" s="11" t="str">
        <x:v>Available</x:v>
      </x:c>
      <x:c r="B124" s="12" t="n">
        <x:v>125.1</x:v>
      </x:c>
      <x:c r="C124" s="12" t="n">
        <x:f>ROUNDUP(B124/12,0)</x:f>
        <x:v>11</x:v>
      </x:c>
      <x:c r="D124" s="13" t="n">
        <x:v>139</x:v>
      </x:c>
      <x:c r="E124" s="12" t="n">
        <x:f>B124-D124</x:f>
        <x:v>-13.900000000000006</x:v>
      </x:c>
      <x:c r="F124" s="13" t="n">
        <x:v>137</x:v>
      </x:c>
      <x:c r="G124" s="12" t="n">
        <x:f>B124-F124</x:f>
        <x:v>-11.900000000000006</x:v>
      </x:c>
      <x:c r="H124" s="11" t="str">
        <x:v>Depth</x:v>
      </x:c>
      <x:c r="I124" s="11" t="str">
        <x:v>KC Concepcion</x:v>
      </x:c>
      <x:c r="J124" s="11" t="str">
        <x:v>WR</x:v>
      </x:c>
      <x:c r="K124" s="13" t="n">
        <x:v>52</x:v>
      </x:c>
      <x:c r="L124" s="13" t="str">
        <x:v>CLE</x:v>
      </x:c>
      <x:c r="M124" s="13" t="n">
        <x:v>11</x:v>
      </x:c>
      <x:c r="N124" s="12" t="n">
        <x:v>157.8</x:v>
      </x:c>
      <x:c r="O124" s="12" t="n">
        <x:v>156</x:v>
      </x:c>
      <x:c r="P124" s="12" t="n">
        <x:f>N124-O124</x:f>
        <x:v>1.8000000000000114</x:v>
      </x:c>
      <x:c r="Q124" s="12" t="n">
        <x:v>156.4</x:v>
      </x:c>
      <x:c r="R124" s="12" t="n">
        <x:v>14.6</x:v>
      </x:c>
      <x:c r="S124" s="12" t="n">
        <x:v>-21.8</x:v>
      </x:c>
      <x:c r="T124" s="11" t="str">
        <x:v>Low</x:v>
      </x:c>
      <x:c r="U124" s="13" t="n">
        <x:v>4</x:v>
      </x:c>
      <x:c r="V124" s="13" t="n">
        <x:v>26</x:v>
      </x:c>
      <x:c r="W124" s="11"/>
      <x:c r="X124" s="11" t="str">
        <x:v>Rookie model: pick 24, age and destination-team environment; team pass volume #4, rush volume #26</x:v>
      </x:c>
    </x:row>
    <x:row r="125" ht="19" customHeight="1">
      <x:c r="A125" s="11" t="str">
        <x:v>Available</x:v>
      </x:c>
      <x:c r="B125" s="12" t="n">
        <x:v>128.2</x:v>
      </x:c>
      <x:c r="C125" s="12" t="n">
        <x:f>ROUNDUP(B125/12,0)</x:f>
        <x:v>11</x:v>
      </x:c>
      <x:c r="D125" s="13" t="n">
        <x:v>154</x:v>
      </x:c>
      <x:c r="E125" s="12" t="n">
        <x:f>B125-D125</x:f>
        <x:v>-25.80000000000001</x:v>
      </x:c>
      <x:c r="F125" s="13" t="n">
        <x:v>166</x:v>
      </x:c>
      <x:c r="G125" s="12" t="n">
        <x:f>B125-F125</x:f>
        <x:v>-37.80000000000001</x:v>
      </x:c>
      <x:c r="H125" s="11" t="str">
        <x:v>Depth</x:v>
      </x:c>
      <x:c r="I125" s="11" t="str">
        <x:v>Rachaad White</x:v>
      </x:c>
      <x:c r="J125" s="11" t="str">
        <x:v>RB</x:v>
      </x:c>
      <x:c r="K125" s="13" t="n">
        <x:v>40</x:v>
      </x:c>
      <x:c r="L125" s="13" t="str">
        <x:v>WAS</x:v>
      </x:c>
      <x:c r="M125" s="13" t="n">
        <x:v>7</x:v>
      </x:c>
      <x:c r="N125" s="12" t="n">
        <x:v>143.6</x:v>
      </x:c>
      <x:c r="O125" s="12" t="n">
        <x:v>128</x:v>
      </x:c>
      <x:c r="P125" s="12" t="n">
        <x:f>N125-O125</x:f>
        <x:v>15.599999999999994</x:v>
      </x:c>
      <x:c r="Q125" s="12" t="n">
        <x:v>138.1</x:v>
      </x:c>
      <x:c r="R125" s="12" t="n">
        <x:v>13.2</x:v>
      </x:c>
      <x:c r="S125" s="12" t="n">
        <x:v>-30.7</x:v>
      </x:c>
      <x:c r="T125" s="11" t="str">
        <x:v>High</x:v>
      </x:c>
      <x:c r="U125" s="13" t="n">
        <x:v>29</x:v>
      </x:c>
      <x:c r="V125" s="13" t="n">
        <x:v>8</x:v>
      </x:c>
      <x:c r="W125" s="11" t="str">
        <x:v>Ques</x:v>
      </x:c>
      <x:c r="X125" s="11" t="str">
        <x:v>Veteran model: 2025 form, prior-year trend and new team pass/run forecast; team pass volume #29, rush volume #8</x:v>
      </x:c>
    </x:row>
    <x:row r="126" ht="19" customHeight="1">
      <x:c r="A126" s="11" t="str">
        <x:v>Available</x:v>
      </x:c>
      <x:c r="B126" s="12" t="n">
        <x:v>129.5</x:v>
      </x:c>
      <x:c r="C126" s="12" t="n">
        <x:f>ROUNDUP(B126/12,0)</x:f>
        <x:v>11</x:v>
      </x:c>
      <x:c r="D126" s="13" t="n">
        <x:v>106</x:v>
      </x:c>
      <x:c r="E126" s="12" t="n">
        <x:f>B126-D126</x:f>
        <x:v>23.5</x:v>
      </x:c>
      <x:c r="F126" s="13" t="n">
        <x:v>144</x:v>
      </x:c>
      <x:c r="G126" s="12" t="n">
        <x:f>B126-F126</x:f>
        <x:v>-14.5</x:v>
      </x:c>
      <x:c r="H126" s="11" t="str">
        <x:v>Depth</x:v>
      </x:c>
      <x:c r="I126" s="11" t="str">
        <x:v>Mark Andrews</x:v>
      </x:c>
      <x:c r="J126" s="11" t="str">
        <x:v>TE</x:v>
      </x:c>
      <x:c r="K126" s="13" t="n">
        <x:v>19</x:v>
      </x:c>
      <x:c r="L126" s="13" t="str">
        <x:v>BAL</x:v>
      </x:c>
      <x:c r="M126" s="13" t="n">
        <x:v>13</x:v>
      </x:c>
      <x:c r="N126" s="12" t="n">
        <x:v>132.3</x:v>
      </x:c>
      <x:c r="O126" s="12" t="n">
        <x:v>163</x:v>
      </x:c>
      <x:c r="P126" s="12" t="n">
        <x:f>N126-O126</x:f>
        <x:v>-30.69999999999999</x:v>
      </x:c>
      <x:c r="Q126" s="12" t="n">
        <x:v>143</x:v>
      </x:c>
      <x:c r="R126" s="12" t="n">
        <x:v>13.3</x:v>
      </x:c>
      <x:c r="S126" s="12" t="n">
        <x:v>-8</x:v>
      </x:c>
      <x:c r="T126" s="11" t="str">
        <x:v>High</x:v>
      </x:c>
      <x:c r="U126" s="13" t="n">
        <x:v>32</x:v>
      </x:c>
      <x:c r="V126" s="13" t="n">
        <x:v>1</x:v>
      </x:c>
      <x:c r="W126" s="11"/>
      <x:c r="X126" s="11" t="str">
        <x:v>Veteran model: 2025 form, prior-year trend and same team pass/run forecast; team pass volume #32, rush volume #1</x:v>
      </x:c>
    </x:row>
    <x:row r="127" ht="19" customHeight="1">
      <x:c r="A127" s="11" t="str">
        <x:v>Available</x:v>
      </x:c>
      <x:c r="B127" s="12" t="n">
        <x:v>130.8</x:v>
      </x:c>
      <x:c r="C127" s="12" t="n">
        <x:f>ROUNDUP(B127/12,0)</x:f>
        <x:v>11</x:v>
      </x:c>
      <x:c r="D127" s="13" t="n">
        <x:v>140</x:v>
      </x:c>
      <x:c r="E127" s="12" t="n">
        <x:f>B127-D127</x:f>
        <x:v>-9.199999999999989</x:v>
      </x:c>
      <x:c r="F127" s="13" t="n">
        <x:v>175</x:v>
      </x:c>
      <x:c r="G127" s="12" t="n">
        <x:f>B127-F127</x:f>
        <x:v>-44.19999999999999</x:v>
      </x:c>
      <x:c r="H127" s="11" t="str">
        <x:v>Depth</x:v>
      </x:c>
      <x:c r="I127" s="11" t="str">
        <x:v>Matthew Golden</x:v>
      </x:c>
      <x:c r="J127" s="11" t="str">
        <x:v>WR</x:v>
      </x:c>
      <x:c r="K127" s="13" t="n">
        <x:v>55</x:v>
      </x:c>
      <x:c r="L127" s="13" t="str">
        <x:v>GB</x:v>
      </x:c>
      <x:c r="M127" s="13" t="n">
        <x:v>11</x:v>
      </x:c>
      <x:c r="N127" s="12" t="n">
        <x:v>133.3</x:v>
      </x:c>
      <x:c r="O127" s="12" t="n">
        <x:v>170</x:v>
      </x:c>
      <x:c r="P127" s="12" t="n">
        <x:f>N127-O127</x:f>
        <x:v>-36.69999999999999</x:v>
      </x:c>
      <x:c r="Q127" s="12" t="n">
        <x:v>151.6</x:v>
      </x:c>
      <x:c r="R127" s="12" t="n">
        <x:v>12.5</x:v>
      </x:c>
      <x:c r="S127" s="12" t="n">
        <x:v>-22.2</x:v>
      </x:c>
      <x:c r="T127" s="11" t="str">
        <x:v>Medium</x:v>
      </x:c>
      <x:c r="U127" s="13" t="n">
        <x:v>30</x:v>
      </x:c>
      <x:c r="V127" s="13" t="n">
        <x:v>4</x:v>
      </x:c>
      <x:c r="W127" s="11"/>
      <x:c r="X127" s="11" t="str">
        <x:v>Veteran model: 2025 form, prior-year trend and same team pass/run forecast; team pass volume #30, rush volume #4</x:v>
      </x:c>
    </x:row>
    <x:row r="128" ht="19" customHeight="1">
      <x:c r="A128" s="11" t="str">
        <x:v>Available</x:v>
      </x:c>
      <x:c r="B128" s="12" t="n">
        <x:v>131.3</x:v>
      </x:c>
      <x:c r="C128" s="12" t="n">
        <x:f>ROUNDUP(B128/12,0)</x:f>
        <x:v>11</x:v>
      </x:c>
      <x:c r="D128" s="13" t="n">
        <x:v>122</x:v>
      </x:c>
      <x:c r="E128" s="12" t="n">
        <x:f>B128-D128</x:f>
        <x:v>9.300000000000011</x:v>
      </x:c>
      <x:c r="F128" s="13" t="n">
        <x:v>124</x:v>
      </x:c>
      <x:c r="G128" s="12" t="n">
        <x:f>B128-F128</x:f>
        <x:v>7.300000000000011</x:v>
      </x:c>
      <x:c r="H128" s="11" t="str">
        <x:v>Depth</x:v>
      </x:c>
      <x:c r="I128" s="11" t="str">
        <x:v>Romeo Doubs</x:v>
      </x:c>
      <x:c r="J128" s="11" t="str">
        <x:v>WR</x:v>
      </x:c>
      <x:c r="K128" s="13" t="n">
        <x:v>49</x:v>
      </x:c>
      <x:c r="L128" s="13" t="str">
        <x:v>NE</x:v>
      </x:c>
      <x:c r="M128" s="13" t="n">
        <x:v>11</x:v>
      </x:c>
      <x:c r="N128" s="12" t="n">
        <x:v>162.4</x:v>
      </x:c>
      <x:c r="O128" s="12" t="n">
        <x:v>161</x:v>
      </x:c>
      <x:c r="P128" s="12" t="n">
        <x:f>N128-O128</x:f>
        <x:v>1.4000000000000057</x:v>
      </x:c>
      <x:c r="Q128" s="12" t="n">
        <x:v>161.9</x:v>
      </x:c>
      <x:c r="R128" s="12" t="n">
        <x:v>13.9</x:v>
      </x:c>
      <x:c r="S128" s="12" t="n">
        <x:v>-16.3</x:v>
      </x:c>
      <x:c r="T128" s="11" t="str">
        <x:v>High</x:v>
      </x:c>
      <x:c r="U128" s="13" t="n">
        <x:v>27</x:v>
      </x:c>
      <x:c r="V128" s="13" t="n">
        <x:v>12</x:v>
      </x:c>
      <x:c r="W128" s="11"/>
      <x:c r="X128" s="11" t="str">
        <x:v>Veteran model: 2025 form, prior-year trend and new team pass/run forecast; team pass volume #27, rush volume #12</x:v>
      </x:c>
    </x:row>
    <x:row r="129" ht="19" customHeight="1">
      <x:c r="A129" s="11" t="str">
        <x:v>Available</x:v>
      </x:c>
      <x:c r="B129" s="12" t="n">
        <x:v>132.6</x:v>
      </x:c>
      <x:c r="C129" s="12" t="n">
        <x:f>ROUNDUP(B129/12,0)</x:f>
        <x:v>12</x:v>
      </x:c>
      <x:c r="D129" s="13" t="n">
        <x:v>64</x:v>
      </x:c>
      <x:c r="E129" s="12" t="n">
        <x:f>B129-D129</x:f>
        <x:v>68.6</x:v>
      </x:c>
      <x:c r="F129" s="13" t="n">
        <x:v>64</x:v>
      </x:c>
      <x:c r="G129" s="12" t="n">
        <x:f>B129-F129</x:f>
        <x:v>68.6</x:v>
      </x:c>
      <x:c r="H129" s="11" t="str">
        <x:v>Target</x:v>
      </x:c>
      <x:c r="I129" s="11" t="str">
        <x:v>Hunter Henry</x:v>
      </x:c>
      <x:c r="J129" s="11" t="str">
        <x:v>TE</x:v>
      </x:c>
      <x:c r="K129" s="13" t="n">
        <x:v>11</x:v>
      </x:c>
      <x:c r="L129" s="13" t="str">
        <x:v>NE</x:v>
      </x:c>
      <x:c r="M129" s="13" t="n">
        <x:v>11</x:v>
      </x:c>
      <x:c r="N129" s="12" t="n">
        <x:v>171.3</x:v>
      </x:c>
      <x:c r="O129" s="12" t="n">
        <x:v>154</x:v>
      </x:c>
      <x:c r="P129" s="12" t="n">
        <x:f>N129-O129</x:f>
        <x:v>17.30000000000001</x:v>
      </x:c>
      <x:c r="Q129" s="12" t="n">
        <x:v>165.2</x:v>
      </x:c>
      <x:c r="R129" s="12" t="n">
        <x:v>12.7</x:v>
      </x:c>
      <x:c r="S129" s="12" t="n">
        <x:v>9</x:v>
      </x:c>
      <x:c r="T129" s="11" t="str">
        <x:v>High</x:v>
      </x:c>
      <x:c r="U129" s="13" t="n">
        <x:v>27</x:v>
      </x:c>
      <x:c r="V129" s="13" t="n">
        <x:v>12</x:v>
      </x:c>
      <x:c r="W129" s="11"/>
      <x:c r="X129" s="11" t="str">
        <x:v>Veteran model: 2025 form, prior-year trend and same team pass/run forecast; team pass volume #27, rush volume #12</x:v>
      </x:c>
    </x:row>
    <x:row r="130" ht="19" customHeight="1">
      <x:c r="A130" s="11" t="str">
        <x:v>Available</x:v>
      </x:c>
      <x:c r="B130" s="12" t="n">
        <x:v>132.8</x:v>
      </x:c>
      <x:c r="C130" s="12" t="n">
        <x:f>ROUNDUP(B130/12,0)</x:f>
        <x:v>12</x:v>
      </x:c>
      <x:c r="D130" s="13" t="n">
        <x:v>87</x:v>
      </x:c>
      <x:c r="E130" s="12" t="n">
        <x:f>B130-D130</x:f>
        <x:v>45.80000000000001</x:v>
      </x:c>
      <x:c r="F130" s="13" t="n">
        <x:v>74</x:v>
      </x:c>
      <x:c r="G130" s="12" t="n">
        <x:f>B130-F130</x:f>
        <x:v>58.80000000000001</x:v>
      </x:c>
      <x:c r="H130" s="11" t="str">
        <x:v>Depth</x:v>
      </x:c>
      <x:c r="I130" s="11" t="str">
        <x:v>Jared Goff</x:v>
      </x:c>
      <x:c r="J130" s="11" t="str">
        <x:v>QB</x:v>
      </x:c>
      <x:c r="K130" s="13" t="n">
        <x:v>13</x:v>
      </x:c>
      <x:c r="L130" s="13" t="str">
        <x:v>DET</x:v>
      </x:c>
      <x:c r="M130" s="13" t="n">
        <x:v>6</x:v>
      </x:c>
      <x:c r="N130" s="12" t="n">
        <x:v>288</x:v>
      </x:c>
      <x:c r="O130" s="12" t="n">
        <x:v>283</x:v>
      </x:c>
      <x:c r="P130" s="12" t="n">
        <x:f>N130-O130</x:f>
        <x:v>5</x:v>
      </x:c>
      <x:c r="Q130" s="12" t="n">
        <x:v>286.2</x:v>
      </x:c>
      <x:c r="R130" s="12" t="n">
        <x:v>15.3</x:v>
      </x:c>
      <x:c r="S130" s="12" t="n">
        <x:v>0</x:v>
      </x:c>
      <x:c r="T130" s="11" t="str">
        <x:v>High</x:v>
      </x:c>
      <x:c r="U130" s="13" t="n">
        <x:v>10</x:v>
      </x:c>
      <x:c r="V130" s="13" t="n">
        <x:v>7</x:v>
      </x:c>
      <x:c r="W130" s="11"/>
      <x:c r="X130" s="11" t="str">
        <x:v>Veteran model: 2025 form, prior-year trend and same team pass/run forecast; team pass volume #10, rush volume #7</x:v>
      </x:c>
    </x:row>
    <x:row r="131" ht="19" customHeight="1">
      <x:c r="A131" s="11" t="str">
        <x:v>Available</x:v>
      </x:c>
      <x:c r="B131" s="12" t="n">
        <x:v>137.6</x:v>
      </x:c>
      <x:c r="C131" s="12" t="n">
        <x:f>ROUNDUP(B131/12,0)</x:f>
        <x:v>12</x:v>
      </x:c>
      <x:c r="D131" s="13" t="n">
        <x:v>128</x:v>
      </x:c>
      <x:c r="E131" s="12" t="n">
        <x:f>B131-D131</x:f>
        <x:v>9.599999999999994</x:v>
      </x:c>
      <x:c r="F131" s="13" t="n">
        <x:v>128</x:v>
      </x:c>
      <x:c r="G131" s="12" t="n">
        <x:f>B131-F131</x:f>
        <x:v>9.599999999999994</x:v>
      </x:c>
      <x:c r="H131" s="11" t="str">
        <x:v>Depth</x:v>
      </x:c>
      <x:c r="I131" s="11" t="str">
        <x:v>Deebo Samuel</x:v>
      </x:c>
      <x:c r="J131" s="11" t="str">
        <x:v>WR</x:v>
      </x:c>
      <x:c r="K131" s="13" t="n">
        <x:v>50</x:v>
      </x:c>
      <x:c r="L131" s="13" t="str">
        <x:v>SF</x:v>
      </x:c>
      <x:c r="M131" s="13" t="n">
        <x:v>8</x:v>
      </x:c>
      <x:c r="N131" s="12" t="n">
        <x:v>161.5</x:v>
      </x:c>
      <x:c r="O131" s="12" t="n">
        <x:v>156</x:v>
      </x:c>
      <x:c r="P131" s="12" t="n">
        <x:f>N131-O131</x:f>
        <x:v>5.5</x:v>
      </x:c>
      <x:c r="Q131" s="12" t="n">
        <x:v>159.5</x:v>
      </x:c>
      <x:c r="R131" s="12" t="n">
        <x:v>14.2</x:v>
      </x:c>
      <x:c r="S131" s="12" t="n">
        <x:v>-18.6</x:v>
      </x:c>
      <x:c r="T131" s="11" t="str">
        <x:v>High</x:v>
      </x:c>
      <x:c r="U131" s="13" t="n">
        <x:v>16</x:v>
      </x:c>
      <x:c r="V131" s="13" t="n">
        <x:v>9</x:v>
      </x:c>
      <x:c r="W131" s="11"/>
      <x:c r="X131" s="11" t="str">
        <x:v>Veteran model: 2025 form, prior-year trend and new team pass/run forecast; team pass volume #16, rush volume #9</x:v>
      </x:c>
    </x:row>
    <x:row r="132" ht="19" customHeight="1">
      <x:c r="A132" s="11" t="str">
        <x:v>Available</x:v>
      </x:c>
      <x:c r="B132" s="12" t="n">
        <x:v>138.6</x:v>
      </x:c>
      <x:c r="C132" s="12" t="n">
        <x:f>ROUNDUP(B132/12,0)</x:f>
        <x:v>12</x:v>
      </x:c>
      <x:c r="D132" s="13" t="n">
        <x:v>107</x:v>
      </x:c>
      <x:c r="E132" s="12" t="n">
        <x:f>B132-D132</x:f>
        <x:v>31.599999999999994</x:v>
      </x:c>
      <x:c r="F132" s="13" t="n">
        <x:v>97</x:v>
      </x:c>
      <x:c r="G132" s="12" t="n">
        <x:f>B132-F132</x:f>
        <x:v>41.599999999999994</x:v>
      </x:c>
      <x:c r="H132" s="11" t="str">
        <x:v>Depth</x:v>
      </x:c>
      <x:c r="I132" s="11" t="str">
        <x:v>Khalil Shakir</x:v>
      </x:c>
      <x:c r="J132" s="11" t="str">
        <x:v>WR</x:v>
      </x:c>
      <x:c r="K132" s="13" t="n">
        <x:v>42</x:v>
      </x:c>
      <x:c r="L132" s="13" t="str">
        <x:v>BUF</x:v>
      </x:c>
      <x:c r="M132" s="13" t="n">
        <x:v>7</x:v>
      </x:c>
      <x:c r="N132" s="12" t="n">
        <x:v>171.7</x:v>
      </x:c>
      <x:c r="O132" s="12" t="n">
        <x:v>171</x:v>
      </x:c>
      <x:c r="P132" s="12" t="n">
        <x:f>N132-O132</x:f>
        <x:v>0.6999999999999886</x:v>
      </x:c>
      <x:c r="Q132" s="12" t="n">
        <x:v>171.5</x:v>
      </x:c>
      <x:c r="R132" s="12" t="n">
        <x:v>13.2</x:v>
      </x:c>
      <x:c r="S132" s="12" t="n">
        <x:v>-8</x:v>
      </x:c>
      <x:c r="T132" s="11" t="str">
        <x:v>High</x:v>
      </x:c>
      <x:c r="U132" s="13" t="n">
        <x:v>28</x:v>
      </x:c>
      <x:c r="V132" s="13" t="n">
        <x:v>3</x:v>
      </x:c>
      <x:c r="W132" s="11" t="str">
        <x:v>Ques</x:v>
      </x:c>
      <x:c r="X132" s="11" t="str">
        <x:v>Veteran model: 2025 form, prior-year trend and same team pass/run forecast; team pass volume #28, rush volume #3</x:v>
      </x:c>
    </x:row>
    <x:row r="133" ht="19" customHeight="1">
      <x:c r="A133" s="11" t="str">
        <x:v>Available</x:v>
      </x:c>
      <x:c r="B133" s="12" t="n">
        <x:v>139.3</x:v>
      </x:c>
      <x:c r="C133" s="12" t="n">
        <x:f>ROUNDUP(B133/12,0)</x:f>
        <x:v>12</x:v>
      </x:c>
      <x:c r="D133" s="13" t="n">
        <x:v>115</x:v>
      </x:c>
      <x:c r="E133" s="12" t="n">
        <x:f>B133-D133</x:f>
        <x:v>24.30000000000001</x:v>
      </x:c>
      <x:c r="F133" s="13" t="n">
        <x:v>104</x:v>
      </x:c>
      <x:c r="G133" s="12" t="n">
        <x:f>B133-F133</x:f>
        <x:v>35.30000000000001</x:v>
      </x:c>
      <x:c r="H133" s="11" t="str">
        <x:v>Depth</x:v>
      </x:c>
      <x:c r="I133" s="11" t="str">
        <x:v>Xavier Worthy</x:v>
      </x:c>
      <x:c r="J133" s="11" t="str">
        <x:v>WR</x:v>
      </x:c>
      <x:c r="K133" s="13" t="n">
        <x:v>46</x:v>
      </x:c>
      <x:c r="L133" s="13" t="str">
        <x:v>KC</x:v>
      </x:c>
      <x:c r="M133" s="13" t="n">
        <x:v>5</x:v>
      </x:c>
      <x:c r="N133" s="12" t="n">
        <x:v>168.2</x:v>
      </x:c>
      <x:c r="O133" s="12" t="n">
        <x:v>162</x:v>
      </x:c>
      <x:c r="P133" s="12" t="n">
        <x:f>N133-O133</x:f>
        <x:v>6.199999999999989</x:v>
      </x:c>
      <x:c r="Q133" s="12" t="n">
        <x:v>166</x:v>
      </x:c>
      <x:c r="R133" s="12" t="n">
        <x:v>12.9</x:v>
      </x:c>
      <x:c r="S133" s="12" t="n">
        <x:v>-12</x:v>
      </x:c>
      <x:c r="T133" s="11" t="str">
        <x:v>High</x:v>
      </x:c>
      <x:c r="U133" s="13" t="n">
        <x:v>5</x:v>
      </x:c>
      <x:c r="V133" s="13" t="n">
        <x:v>25</x:v>
      </x:c>
      <x:c r="W133" s="11" t="str">
        <x:v>Ques</x:v>
      </x:c>
      <x:c r="X133" s="11" t="str">
        <x:v>Veteran model: 2025 form, prior-year trend and same team pass/run forecast; team pass volume #5, rush volume #25</x:v>
      </x:c>
    </x:row>
    <x:row r="134" ht="19" customHeight="1">
      <x:c r="A134" s="11" t="str">
        <x:v>Available</x:v>
      </x:c>
      <x:c r="B134" s="12" t="n">
        <x:v>139.7</x:v>
      </x:c>
      <x:c r="C134" s="12" t="n">
        <x:f>ROUNDUP(B134/12,0)</x:f>
        <x:v>12</x:v>
      </x:c>
      <x:c r="D134" s="13" t="n">
        <x:v>100</x:v>
      </x:c>
      <x:c r="E134" s="12" t="n">
        <x:f>B134-D134</x:f>
        <x:v>39.69999999999999</x:v>
      </x:c>
      <x:c r="F134" s="13" t="n">
        <x:v>88</x:v>
      </x:c>
      <x:c r="G134" s="12" t="n">
        <x:f>B134-F134</x:f>
        <x:v>51.69999999999999</x:v>
      </x:c>
      <x:c r="H134" s="11" t="str">
        <x:v>Depth</x:v>
      </x:c>
      <x:c r="I134" s="11" t="str">
        <x:v>Baker Mayfield</x:v>
      </x:c>
      <x:c r="J134" s="11" t="str">
        <x:v>QB</x:v>
      </x:c>
      <x:c r="K134" s="13" t="n">
        <x:v>17</x:v>
      </x:c>
      <x:c r="L134" s="13" t="str">
        <x:v>TB</x:v>
      </x:c>
      <x:c r="M134" s="13" t="n">
        <x:v>10</x:v>
      </x:c>
      <x:c r="N134" s="12" t="n">
        <x:v>282.2</x:v>
      </x:c>
      <x:c r="O134" s="12" t="n">
        <x:v>275</x:v>
      </x:c>
      <x:c r="P134" s="12" t="n">
        <x:f>N134-O134</x:f>
        <x:v>7.199999999999989</x:v>
      </x:c>
      <x:c r="Q134" s="12" t="n">
        <x:v>279.7</x:v>
      </x:c>
      <x:c r="R134" s="12" t="n">
        <x:v>13</x:v>
      </x:c>
      <x:c r="S134" s="12" t="n">
        <x:v>-5</x:v>
      </x:c>
      <x:c r="T134" s="11" t="str">
        <x:v>High</x:v>
      </x:c>
      <x:c r="U134" s="13" t="n">
        <x:v>12</x:v>
      </x:c>
      <x:c r="V134" s="13" t="n">
        <x:v>11</x:v>
      </x:c>
      <x:c r="W134" s="11"/>
      <x:c r="X134" s="11" t="str">
        <x:v>Veteran model: 2025 form, prior-year trend and same team pass/run forecast; team pass volume #12, rush volume #11</x:v>
      </x:c>
    </x:row>
    <x:row r="135" ht="19" customHeight="1">
      <x:c r="A135" s="11" t="str">
        <x:v>Available</x:v>
      </x:c>
      <x:c r="B135" s="12" t="n">
        <x:v>141.7</x:v>
      </x:c>
      <x:c r="C135" s="12" t="n">
        <x:f>ROUNDUP(B135/12,0)</x:f>
        <x:v>12</x:v>
      </x:c>
      <x:c r="D135" s="13" t="n">
        <x:v>149</x:v>
      </x:c>
      <x:c r="E135" s="12" t="n">
        <x:f>B135-D135</x:f>
        <x:v>-7.300000000000011</x:v>
      </x:c>
      <x:c r="F135" s="13" t="n">
        <x:v>90</x:v>
      </x:c>
      <x:c r="G135" s="12" t="n">
        <x:f>B135-F135</x:f>
        <x:v>51.69999999999999</x:v>
      </x:c>
      <x:c r="H135" s="11" t="str">
        <x:v>Depth</x:v>
      </x:c>
      <x:c r="I135" s="11" t="str">
        <x:v>Zach Charbonnet</x:v>
      </x:c>
      <x:c r="J135" s="11" t="str">
        <x:v>RB</x:v>
      </x:c>
      <x:c r="K135" s="13" t="n">
        <x:v>39</x:v>
      </x:c>
      <x:c r="L135" s="13" t="str">
        <x:v>SEA</x:v>
      </x:c>
      <x:c r="M135" s="13" t="n">
        <x:v>11</x:v>
      </x:c>
      <x:c r="N135" s="12" t="n">
        <x:v>177.5</x:v>
      </x:c>
      <x:c r="O135" s="12" t="n">
        <x:v>67</x:v>
      </x:c>
      <x:c r="P135" s="12" t="n">
        <x:f>N135-O135</x:f>
        <x:v>110.5</x:v>
      </x:c>
      <x:c r="Q135" s="12" t="n">
        <x:v>138.8</x:v>
      </x:c>
      <x:c r="R135" s="12" t="n">
        <x:v>12.5</x:v>
      </x:c>
      <x:c r="S135" s="12" t="n">
        <x:v>-28.5</x:v>
      </x:c>
      <x:c r="T135" s="11" t="str">
        <x:v>High</x:v>
      </x:c>
      <x:c r="U135" s="13" t="n">
        <x:v>23</x:v>
      </x:c>
      <x:c r="V135" s="13" t="n">
        <x:v>21</x:v>
      </x:c>
      <x:c r="W135" s="11" t="str">
        <x:v>PUP</x:v>
      </x:c>
      <x:c r="X135" s="11" t="str">
        <x:v>Veteran model: 2025 form, prior-year trend and same team pass/run forecast; team pass volume #23, rush volume #21</x:v>
      </x:c>
    </x:row>
    <x:row r="136" ht="19" customHeight="1">
      <x:c r="A136" s="11" t="str">
        <x:v>Available</x:v>
      </x:c>
      <x:c r="B136" s="12" t="n">
        <x:v>143.4</x:v>
      </x:c>
      <x:c r="C136" s="12" t="n">
        <x:f>ROUNDUP(B136/12,0)</x:f>
        <x:v>12</x:v>
      </x:c>
      <x:c r="D136" s="13" t="n">
        <x:v>136</x:v>
      </x:c>
      <x:c r="E136" s="12" t="n">
        <x:f>B136-D136</x:f>
        <x:v>7.400000000000006</x:v>
      </x:c>
      <x:c r="F136" s="13" t="n">
        <x:v>170</x:v>
      </x:c>
      <x:c r="G136" s="12" t="n">
        <x:f>B136-F136</x:f>
        <x:v>-26.599999999999994</x:v>
      </x:c>
      <x:c r="H136" s="11" t="str">
        <x:v>Depth</x:v>
      </x:c>
      <x:c r="I136" s="11" t="str">
        <x:v>Jalen Coker</x:v>
      </x:c>
      <x:c r="J136" s="11" t="str">
        <x:v>WR</x:v>
      </x:c>
      <x:c r="K136" s="13" t="n">
        <x:v>57</x:v>
      </x:c>
      <x:c r="L136" s="13" t="str">
        <x:v>CAR</x:v>
      </x:c>
      <x:c r="M136" s="13" t="n">
        <x:v>5</x:v>
      </x:c>
      <x:c r="N136" s="12" t="n">
        <x:v>128.5</x:v>
      </x:c>
      <x:c r="O136" s="12" t="n">
        <x:v>166</x:v>
      </x:c>
      <x:c r="P136" s="12" t="n">
        <x:f>N136-O136</x:f>
        <x:v>-37.5</x:v>
      </x:c>
      <x:c r="Q136" s="12" t="n">
        <x:v>147.3</x:v>
      </x:c>
      <x:c r="R136" s="12" t="n">
        <x:v>10.2</x:v>
      </x:c>
      <x:c r="S136" s="12" t="n">
        <x:v>-20.7</x:v>
      </x:c>
      <x:c r="T136" s="11" t="str">
        <x:v>Medium</x:v>
      </x:c>
      <x:c r="U136" s="13" t="n">
        <x:v>22</x:v>
      </x:c>
      <x:c r="V136" s="13" t="n">
        <x:v>23</x:v>
      </x:c>
      <x:c r="W136" s="11"/>
      <x:c r="X136" s="11" t="str">
        <x:v>Veteran model: 2025 form, prior-year trend and same team pass/run forecast; team pass volume #22, rush volume #23</x:v>
      </x:c>
    </x:row>
    <x:row r="137" ht="19" customHeight="1">
      <x:c r="A137" s="11" t="str">
        <x:v>Available</x:v>
      </x:c>
      <x:c r="B137" s="12" t="n">
        <x:v>144.6</x:v>
      </x:c>
      <x:c r="C137" s="12" t="n">
        <x:f>ROUNDUP(B137/12,0)</x:f>
        <x:v>13</x:v>
      </x:c>
      <x:c r="D137" s="13" t="n">
        <x:v>176</x:v>
      </x:c>
      <x:c r="E137" s="12" t="n">
        <x:f>B137-D137</x:f>
        <x:v>-31.400000000000006</x:v>
      </x:c>
      <x:c r="F137" s="13" t="n">
        <x:v>224</x:v>
      </x:c>
      <x:c r="G137" s="12" t="n">
        <x:f>B137-F137</x:f>
        <x:v>-79.4</x:v>
      </x:c>
      <x:c r="H137" s="11" t="str">
        <x:v>Depth</x:v>
      </x:c>
      <x:c r="I137" s="11" t="str">
        <x:v>Chris Rodriguez</x:v>
      </x:c>
      <x:c r="J137" s="11" t="str">
        <x:v>RB</x:v>
      </x:c>
      <x:c r="K137" s="13" t="n">
        <x:v>48</x:v>
      </x:c>
      <x:c r="L137" s="13" t="str">
        <x:v>JAX</x:v>
      </x:c>
      <x:c r="M137" s="13" t="n">
        <x:v>7</x:v>
      </x:c>
      <x:c r="N137" s="12" t="n">
        <x:v>98.4</x:v>
      </x:c>
      <x:c r="O137" s="12" t="n">
        <x:v>133</x:v>
      </x:c>
      <x:c r="P137" s="12" t="n">
        <x:f>N137-O137</x:f>
        <x:v>-34.599999999999994</x:v>
      </x:c>
      <x:c r="Q137" s="12" t="n">
        <x:v>110.5</x:v>
      </x:c>
      <x:c r="R137" s="12" t="n">
        <x:v>11</x:v>
      </x:c>
      <x:c r="S137" s="12" t="n">
        <x:v>-43.4</x:v>
      </x:c>
      <x:c r="T137" s="11" t="str">
        <x:v>High</x:v>
      </x:c>
      <x:c r="U137" s="13" t="n">
        <x:v>11</x:v>
      </x:c>
      <x:c r="V137" s="13" t="n">
        <x:v>15</x:v>
      </x:c>
      <x:c r="W137" s="11"/>
      <x:c r="X137" s="11" t="str">
        <x:v>Veteran model: 2025 form, prior-year trend and new team pass/run forecast; team pass volume #11, rush volume #15</x:v>
      </x:c>
    </x:row>
    <x:row r="138" ht="19" customHeight="1">
      <x:c r="A138" s="11" t="str">
        <x:v>Available</x:v>
      </x:c>
      <x:c r="B138" s="12" t="n">
        <x:v>145.6</x:v>
      </x:c>
      <x:c r="C138" s="12" t="n">
        <x:f>ROUNDUP(B138/12,0)</x:f>
        <x:v>13</x:v>
      </x:c>
      <x:c r="D138" s="13" t="n">
        <x:v>181</x:v>
      </x:c>
      <x:c r="E138" s="12" t="n">
        <x:f>B138-D138</x:f>
        <x:v>-35.400000000000006</x:v>
      </x:c>
      <x:c r="F138" s="13" t="n">
        <x:v>168</x:v>
      </x:c>
      <x:c r="G138" s="12" t="n">
        <x:f>B138-F138</x:f>
        <x:v>-22.400000000000006</x:v>
      </x:c>
      <x:c r="H138" s="11" t="str">
        <x:v>Depth</x:v>
      </x:c>
      <x:c r="I138" s="11" t="str">
        <x:v>Kenyon Sadiq</x:v>
      </x:c>
      <x:c r="J138" s="11" t="str">
        <x:v>TE</x:v>
      </x:c>
      <x:c r="K138" s="13" t="n">
        <x:v>28</x:v>
      </x:c>
      <x:c r="L138" s="13" t="str">
        <x:v>NYJ</x:v>
      </x:c>
      <x:c r="M138" s="13" t="n">
        <x:v>13</x:v>
      </x:c>
      <x:c r="N138" s="12" t="n">
        <x:v>129.5</x:v>
      </x:c>
      <x:c r="O138" s="12" t="n">
        <x:v>100</x:v>
      </x:c>
      <x:c r="P138" s="12" t="n">
        <x:f>N138-O138</x:f>
        <x:v>29.5</x:v>
      </x:c>
      <x:c r="Q138" s="12" t="n">
        <x:v>107.4</x:v>
      </x:c>
      <x:c r="R138" s="12" t="n">
        <x:v>17</x:v>
      </x:c>
      <x:c r="S138" s="12" t="n">
        <x:v>-45.8</x:v>
      </x:c>
      <x:c r="T138" s="11" t="str">
        <x:v>Low</x:v>
      </x:c>
      <x:c r="U138" s="13" t="n">
        <x:v>20</x:v>
      </x:c>
      <x:c r="V138" s="13" t="n">
        <x:v>28</x:v>
      </x:c>
      <x:c r="W138" s="11" t="str">
        <x:v>Ques</x:v>
      </x:c>
      <x:c r="X138" s="11" t="str">
        <x:v>Rookie model: pick 16, age and destination-team environment; team pass volume #20, rush volume #28</x:v>
      </x:c>
    </x:row>
    <x:row r="139" ht="19" customHeight="1">
      <x:c r="A139" s="11" t="str">
        <x:v>Available</x:v>
      </x:c>
      <x:c r="B139" s="12" t="n">
        <x:v>146.1</x:v>
      </x:c>
      <x:c r="C139" s="12" t="n">
        <x:f>ROUNDUP(B139/12,0)</x:f>
        <x:v>13</x:v>
      </x:c>
      <x:c r="D139" s="13" t="n">
        <x:v>216</x:v>
      </x:c>
      <x:c r="E139" s="12" t="n">
        <x:f>B139-D139</x:f>
        <x:v>-69.9</x:v>
      </x:c>
      <x:c r="F139" s="13" t="n">
        <x:v>228</x:v>
      </x:c>
      <x:c r="G139" s="12" t="n">
        <x:f>B139-F139</x:f>
        <x:v>-81.9</x:v>
      </x:c>
      <x:c r="H139" s="11" t="str">
        <x:v>Depth</x:v>
      </x:c>
      <x:c r="I139" s="11" t="str">
        <x:v>Tyler Allgeier</x:v>
      </x:c>
      <x:c r="J139" s="11" t="str">
        <x:v>RB</x:v>
      </x:c>
      <x:c r="K139" s="13" t="n">
        <x:v>50</x:v>
      </x:c>
      <x:c r="L139" s="13" t="str">
        <x:v>ARI</x:v>
      </x:c>
      <x:c r="M139" s="13" t="n">
        <x:v>14</x:v>
      </x:c>
      <x:c r="N139" s="12" t="n">
        <x:v>102.7</x:v>
      </x:c>
      <x:c r="O139" s="12" t="n">
        <x:v>69</x:v>
      </x:c>
      <x:c r="P139" s="12" t="n">
        <x:f>N139-O139</x:f>
        <x:v>33.7</x:v>
      </x:c>
      <x:c r="Q139" s="12" t="n">
        <x:v>90.9</x:v>
      </x:c>
      <x:c r="R139" s="12" t="n">
        <x:v>11.9</x:v>
      </x:c>
      <x:c r="S139" s="12" t="n">
        <x:v>-60.7</x:v>
      </x:c>
      <x:c r="T139" s="11" t="str">
        <x:v>High</x:v>
      </x:c>
      <x:c r="U139" s="13" t="n">
        <x:v>3</x:v>
      </x:c>
      <x:c r="V139" s="13" t="n">
        <x:v>29</x:v>
      </x:c>
      <x:c r="W139" s="11"/>
      <x:c r="X139" s="11" t="str">
        <x:v>Veteran model: 2025 form, prior-year trend and new team pass/run forecast; team pass volume #3, rush volume #29</x:v>
      </x:c>
    </x:row>
    <x:row r="140" ht="19" customHeight="1">
      <x:c r="A140" s="11" t="str">
        <x:v>Available</x:v>
      </x:c>
      <x:c r="B140" s="12" t="n">
        <x:v>146.6</x:v>
      </x:c>
      <x:c r="C140" s="12" t="n">
        <x:f>ROUNDUP(B140/12,0)</x:f>
        <x:v>13</x:v>
      </x:c>
      <x:c r="D140" s="13" t="n">
        <x:v>123</x:v>
      </x:c>
      <x:c r="E140" s="12" t="n">
        <x:f>B140-D140</x:f>
        <x:v>23.599999999999994</x:v>
      </x:c>
      <x:c r="F140" s="13" t="n">
        <x:v>138</x:v>
      </x:c>
      <x:c r="G140" s="12" t="n">
        <x:f>B140-F140</x:f>
        <x:v>8.599999999999994</x:v>
      </x:c>
      <x:c r="H140" s="11" t="str">
        <x:v>Depth</x:v>
      </x:c>
      <x:c r="I140" s="11" t="str">
        <x:v>Jordan Love</x:v>
      </x:c>
      <x:c r="J140" s="11" t="str">
        <x:v>QB</x:v>
      </x:c>
      <x:c r="K140" s="13" t="n">
        <x:v>19</x:v>
      </x:c>
      <x:c r="L140" s="13" t="str">
        <x:v>GB</x:v>
      </x:c>
      <x:c r="M140" s="13" t="n">
        <x:v>11</x:v>
      </x:c>
      <x:c r="N140" s="12" t="n">
        <x:v>257.4</x:v>
      </x:c>
      <x:c r="O140" s="12" t="n">
        <x:v>279</x:v>
      </x:c>
      <x:c r="P140" s="12" t="n">
        <x:f>N140-O140</x:f>
        <x:v>-21.600000000000023</x:v>
      </x:c>
      <x:c r="Q140" s="12" t="n">
        <x:v>265</x:v>
      </x:c>
      <x:c r="R140" s="12" t="n">
        <x:v>13.3</x:v>
      </x:c>
      <x:c r="S140" s="12" t="n">
        <x:v>-16.6</x:v>
      </x:c>
      <x:c r="T140" s="11" t="str">
        <x:v>High</x:v>
      </x:c>
      <x:c r="U140" s="13" t="n">
        <x:v>30</x:v>
      </x:c>
      <x:c r="V140" s="13" t="n">
        <x:v>4</x:v>
      </x:c>
      <x:c r="W140" s="11"/>
      <x:c r="X140" s="11" t="str">
        <x:v>Veteran model: 2025 form, prior-year trend and same team pass/run forecast; team pass volume #30, rush volume #4</x:v>
      </x:c>
    </x:row>
    <x:row r="141" ht="19" customHeight="1">
      <x:c r="A141" s="11" t="str">
        <x:v>Available</x:v>
      </x:c>
      <x:c r="B141" s="12" t="n">
        <x:v>148.7</x:v>
      </x:c>
      <x:c r="C141" s="12" t="n">
        <x:f>ROUNDUP(B141/12,0)</x:f>
        <x:v>13</x:v>
      </x:c>
      <x:c r="D141" s="13" t="n">
        <x:v>231</x:v>
      </x:c>
      <x:c r="E141" s="12" t="n">
        <x:f>B141-D141</x:f>
        <x:v>-82.30000000000001</x:v>
      </x:c>
      <x:c r="F141" s="13" t="n">
        <x:v>149</x:v>
      </x:c>
      <x:c r="G141" s="12" t="n">
        <x:f>B141-F141</x:f>
        <x:v>-0.30000000000001137</x:v>
      </x:c>
      <x:c r="H141" s="11" t="str">
        <x:v>Depth</x:v>
      </x:c>
      <x:c r="I141" s="11" t="str">
        <x:v>Jayden Higgins</x:v>
      </x:c>
      <x:c r="J141" s="11" t="str">
        <x:v>WR</x:v>
      </x:c>
      <x:c r="K141" s="13" t="n">
        <x:v>93</x:v>
      </x:c>
      <x:c r="L141" s="13" t="str">
        <x:v>HOU</x:v>
      </x:c>
      <x:c r="M141" s="13" t="n">
        <x:v>8</x:v>
      </x:c>
      <x:c r="N141" s="12" t="n">
        <x:v>148.1</x:v>
      </x:c>
      <x:c r="O141" s="12" t="n">
        <x:v>0</x:v>
      </x:c>
      <x:c r="P141" s="12" t="n">
        <x:f>N141-O141</x:f>
        <x:v>148.1</x:v>
      </x:c>
      <x:c r="Q141" s="12" t="n">
        <x:v>74.1</x:v>
      </x:c>
      <x:c r="R141" s="12" t="n">
        <x:v>12.5</x:v>
      </x:c>
      <x:c r="S141" s="12" t="n">
        <x:v>-79.2</x:v>
      </x:c>
      <x:c r="T141" s="11" t="str">
        <x:v>Medium</x:v>
      </x:c>
      <x:c r="U141" s="13" t="n">
        <x:v>9</x:v>
      </x:c>
      <x:c r="V141" s="13" t="n">
        <x:v>17</x:v>
      </x:c>
      <x:c r="W141" s="11" t="str">
        <x:v>IR</x:v>
      </x:c>
      <x:c r="X141" s="11" t="str">
        <x:v>Veteran model: 2025 form, prior-year trend and same team pass/run forecast; team pass volume #9, rush volume #17</x:v>
      </x:c>
    </x:row>
    <x:row r="142" ht="19" customHeight="1">
      <x:c r="A142" s="11" t="str">
        <x:v>Available</x:v>
      </x:c>
      <x:c r="B142" s="12" t="n">
        <x:v>150.1</x:v>
      </x:c>
      <x:c r="C142" s="12" t="n">
        <x:f>ROUNDUP(B142/12,0)</x:f>
        <x:v>13</x:v>
      </x:c>
      <x:c r="D142" s="13" t="n">
        <x:v>223</x:v>
      </x:c>
      <x:c r="E142" s="12" t="n">
        <x:f>B142-D142</x:f>
        <x:v>-72.9</x:v>
      </x:c>
      <x:c r="F142" s="13" t="n">
        <x:v>232</x:v>
      </x:c>
      <x:c r="G142" s="12" t="n">
        <x:f>B142-F142</x:f>
        <x:v>-81.9</x:v>
      </x:c>
      <x:c r="H142" s="11" t="str">
        <x:v>Depth</x:v>
      </x:c>
      <x:c r="I142" s="11" t="str">
        <x:v>Brian Robinson</x:v>
      </x:c>
      <x:c r="J142" s="11" t="str">
        <x:v>RB</x:v>
      </x:c>
      <x:c r="K142" s="13" t="n">
        <x:v>54</x:v>
      </x:c>
      <x:c r="L142" s="13" t="str">
        <x:v>ATL</x:v>
      </x:c>
      <x:c r="M142" s="13" t="n">
        <x:v>11</x:v>
      </x:c>
      <x:c r="N142" s="12" t="n">
        <x:v>91.4</x:v>
      </x:c>
      <x:c r="O142" s="12" t="n">
        <x:v>70</x:v>
      </x:c>
      <x:c r="P142" s="12" t="n">
        <x:f>N142-O142</x:f>
        <x:v>21.400000000000006</x:v>
      </x:c>
      <x:c r="Q142" s="12" t="n">
        <x:v>83.9</x:v>
      </x:c>
      <x:c r="R142" s="12" t="n">
        <x:v>11.7</x:v>
      </x:c>
      <x:c r="S142" s="12" t="n">
        <x:v>-64.5</x:v>
      </x:c>
      <x:c r="T142" s="11" t="str">
        <x:v>High</x:v>
      </x:c>
      <x:c r="U142" s="13" t="n">
        <x:v>17</x:v>
      </x:c>
      <x:c r="V142" s="13" t="n">
        <x:v>5</x:v>
      </x:c>
      <x:c r="W142" s="11"/>
      <x:c r="X142" s="11" t="str">
        <x:v>Veteran model: 2025 form, prior-year trend and new team pass/run forecast; team pass volume #17, rush volume #5</x:v>
      </x:c>
    </x:row>
    <x:row r="143" ht="19" customHeight="1">
      <x:c r="A143" s="11" t="str">
        <x:v>Available</x:v>
      </x:c>
      <x:c r="B143" s="12" t="n">
        <x:v>151.4</x:v>
      </x:c>
      <x:c r="C143" s="12" t="n">
        <x:f>ROUNDUP(B143/12,0)</x:f>
        <x:v>13</x:v>
      </x:c>
      <x:c r="D143" s="13" t="n">
        <x:v>96</x:v>
      </x:c>
      <x:c r="E143" s="12" t="n">
        <x:f>B143-D143</x:f>
        <x:v>55.400000000000006</x:v>
      </x:c>
      <x:c r="F143" s="13" t="n">
        <x:v>117</x:v>
      </x:c>
      <x:c r="G143" s="12" t="n">
        <x:f>B143-F143</x:f>
        <x:v>34.400000000000006</x:v>
      </x:c>
      <x:c r="H143" s="11" t="str">
        <x:v>Depth</x:v>
      </x:c>
      <x:c r="I143" s="11" t="str">
        <x:v>Brenton Strange</x:v>
      </x:c>
      <x:c r="J143" s="11" t="str">
        <x:v>TE</x:v>
      </x:c>
      <x:c r="K143" s="13" t="n">
        <x:v>16</x:v>
      </x:c>
      <x:c r="L143" s="13" t="str">
        <x:v>JAX</x:v>
      </x:c>
      <x:c r="M143" s="13" t="n">
        <x:v>7</x:v>
      </x:c>
      <x:c r="N143" s="12" t="n">
        <x:v>141.1</x:v>
      </x:c>
      <x:c r="O143" s="12" t="n">
        <x:v>161</x:v>
      </x:c>
      <x:c r="P143" s="12" t="n">
        <x:f>N143-O143</x:f>
        <x:v>-19.900000000000006</x:v>
      </x:c>
      <x:c r="Q143" s="12" t="n">
        <x:v>148.1</x:v>
      </x:c>
      <x:c r="R143" s="12" t="n">
        <x:v>12.6</x:v>
      </x:c>
      <x:c r="S143" s="12" t="n">
        <x:v>-3.8</x:v>
      </x:c>
      <x:c r="T143" s="11" t="str">
        <x:v>High</x:v>
      </x:c>
      <x:c r="U143" s="13" t="n">
        <x:v>11</x:v>
      </x:c>
      <x:c r="V143" s="13" t="n">
        <x:v>15</x:v>
      </x:c>
      <x:c r="W143" s="11"/>
      <x:c r="X143" s="11" t="str">
        <x:v>Veteran model: 2025 form, prior-year trend and same team pass/run forecast; team pass volume #11, rush volume #15</x:v>
      </x:c>
    </x:row>
    <x:row r="144" ht="19" customHeight="1">
      <x:c r="A144" s="11" t="str">
        <x:v>Available</x:v>
      </x:c>
      <x:c r="B144" s="12" t="n">
        <x:v>155.2</x:v>
      </x:c>
      <x:c r="C144" s="12" t="n">
        <x:f>ROUNDUP(B144/12,0)</x:f>
        <x:v>13</x:v>
      </x:c>
      <x:c r="D144" s="13" t="n">
        <x:v>153</x:v>
      </x:c>
      <x:c r="E144" s="12" t="n">
        <x:f>B144-D144</x:f>
        <x:v>2.1999999999999886</x:v>
      </x:c>
      <x:c r="F144" s="13" t="n">
        <x:v>154</x:v>
      </x:c>
      <x:c r="G144" s="12" t="n">
        <x:f>B144-F144</x:f>
        <x:v>1.1999999999999886</x:v>
      </x:c>
      <x:c r="H144" s="11" t="str">
        <x:v>Depth</x:v>
      </x:c>
      <x:c r="I144" s="11" t="str">
        <x:v>De'Zhaun Stribling</x:v>
      </x:c>
      <x:c r="J144" s="11" t="str">
        <x:v>WR</x:v>
      </x:c>
      <x:c r="K144" s="13" t="n">
        <x:v>63</x:v>
      </x:c>
      <x:c r="L144" s="13" t="str">
        <x:v>SF</x:v>
      </x:c>
      <x:c r="M144" s="13" t="n">
        <x:v>8</x:v>
      </x:c>
      <x:c r="N144" s="12" t="n">
        <x:v>138.7</x:v>
      </x:c>
      <x:c r="O144" s="12" t="n">
        <x:v>128</x:v>
      </x:c>
      <x:c r="P144" s="12" t="n">
        <x:f>N144-O144</x:f>
        <x:v>10.699999999999989</x:v>
      </x:c>
      <x:c r="Q144" s="12" t="n">
        <x:v>130.7</x:v>
      </x:c>
      <x:c r="R144" s="12" t="n">
        <x:v>10.1</x:v>
      </x:c>
      <x:c r="S144" s="12" t="n">
        <x:v>-30.4</x:v>
      </x:c>
      <x:c r="T144" s="11" t="str">
        <x:v>Low</x:v>
      </x:c>
      <x:c r="U144" s="13" t="n">
        <x:v>16</x:v>
      </x:c>
      <x:c r="V144" s="13" t="n">
        <x:v>9</x:v>
      </x:c>
      <x:c r="W144" s="11"/>
      <x:c r="X144" s="11" t="str">
        <x:v>Rookie model: pick 33, age and destination-team environment; team pass volume #16, rush volume #9</x:v>
      </x:c>
    </x:row>
    <x:row r="145" ht="19" customHeight="1">
      <x:c r="A145" s="11" t="str">
        <x:v>Available</x:v>
      </x:c>
      <x:c r="B145" s="12" t="n">
        <x:v>158.2</x:v>
      </x:c>
      <x:c r="C145" s="12" t="n">
        <x:f>ROUNDUP(B145/12,0)</x:f>
        <x:v>14</x:v>
      </x:c>
      <x:c r="D145" s="13" t="n">
        <x:v>138</x:v>
      </x:c>
      <x:c r="E145" s="12" t="n">
        <x:f>B145-D145</x:f>
        <x:v>20.19999999999999</x:v>
      </x:c>
      <x:c r="F145" s="13" t="n">
        <x:v>130</x:v>
      </x:c>
      <x:c r="G145" s="12" t="n">
        <x:f>B145-F145</x:f>
        <x:v>28.19999999999999</x:v>
      </x:c>
      <x:c r="H145" s="11" t="str">
        <x:v>Depth</x:v>
      </x:c>
      <x:c r="I145" s="11" t="str">
        <x:v>Rashid Shaheed</x:v>
      </x:c>
      <x:c r="J145" s="11" t="str">
        <x:v>WR</x:v>
      </x:c>
      <x:c r="K145" s="13" t="n">
        <x:v>56</x:v>
      </x:c>
      <x:c r="L145" s="13" t="str">
        <x:v>SEA</x:v>
      </x:c>
      <x:c r="M145" s="13" t="n">
        <x:v>11</x:v>
      </x:c>
      <x:c r="N145" s="12" t="n">
        <x:v>157</x:v>
      </x:c>
      <x:c r="O145" s="12" t="n">
        <x:v>138</x:v>
      </x:c>
      <x:c r="P145" s="12" t="n">
        <x:f>N145-O145</x:f>
        <x:v>19</x:v>
      </x:c>
      <x:c r="Q145" s="12" t="n">
        <x:v>150.3</x:v>
      </x:c>
      <x:c r="R145" s="12" t="n">
        <x:v>11.7</x:v>
      </x:c>
      <x:c r="S145" s="12" t="n">
        <x:v>-21.7</x:v>
      </x:c>
      <x:c r="T145" s="11" t="str">
        <x:v>High</x:v>
      </x:c>
      <x:c r="U145" s="13" t="n">
        <x:v>23</x:v>
      </x:c>
      <x:c r="V145" s="13" t="n">
        <x:v>21</x:v>
      </x:c>
      <x:c r="W145" s="11"/>
      <x:c r="X145" s="11" t="str">
        <x:v>Veteran model: 2025 form, prior-year trend and same team pass/run forecast; team pass volume #23, rush volume #21</x:v>
      </x:c>
    </x:row>
    <x:row r="146" ht="19" customHeight="1">
      <x:c r="A146" s="11" t="str">
        <x:v>Available</x:v>
      </x:c>
      <x:c r="B146" s="12" t="n">
        <x:v>159.1</x:v>
      </x:c>
      <x:c r="C146" s="12" t="n">
        <x:f>ROUNDUP(B146/12,0)</x:f>
        <x:v>14</x:v>
      </x:c>
      <x:c r="D146" s="13" t="n">
        <x:v>112</x:v>
      </x:c>
      <x:c r="E146" s="12" t="n">
        <x:f>B146-D146</x:f>
        <x:v>47.099999999999994</x:v>
      </x:c>
      <x:c r="F146" s="13" t="n">
        <x:v>136</x:v>
      </x:c>
      <x:c r="G146" s="12" t="n">
        <x:f>B146-F146</x:f>
        <x:v>23.099999999999994</x:v>
      </x:c>
      <x:c r="H146" s="11" t="str">
        <x:v>Depth</x:v>
      </x:c>
      <x:c r="I146" s="11" t="str">
        <x:v>Kyler Murray</x:v>
      </x:c>
      <x:c r="J146" s="11" t="str">
        <x:v>QB</x:v>
      </x:c>
      <x:c r="K146" s="13" t="n">
        <x:v>18</x:v>
      </x:c>
      <x:c r="L146" s="13" t="str">
        <x:v>MIN</x:v>
      </x:c>
      <x:c r="M146" s="13" t="n">
        <x:v>6</x:v>
      </x:c>
      <x:c r="N146" s="12" t="n">
        <x:v>251.7</x:v>
      </x:c>
      <x:c r="O146" s="12" t="n">
        <x:v>275</x:v>
      </x:c>
      <x:c r="P146" s="12" t="n">
        <x:f>N146-O146</x:f>
        <x:v>-23.30000000000001</x:v>
      </x:c>
      <x:c r="Q146" s="12" t="n">
        <x:v>269.2</x:v>
      </x:c>
      <x:c r="R146" s="12" t="n">
        <x:v>10.3</x:v>
      </x:c>
      <x:c r="S146" s="12" t="n">
        <x:v>-10.3</x:v>
      </x:c>
      <x:c r="T146" s="11" t="str">
        <x:v>Low</x:v>
      </x:c>
      <x:c r="U146" s="13" t="n">
        <x:v>26</x:v>
      </x:c>
      <x:c r="V146" s="13" t="n">
        <x:v>27</x:v>
      </x:c>
      <x:c r="W146" s="11"/>
      <x:c r="X146" s="11" t="str">
        <x:v>Veteran model: 2025 form, prior-year trend and new team pass/run forecast; team pass volume #26, rush volume #27</x:v>
      </x:c>
    </x:row>
    <x:row r="147" ht="19" customHeight="1">
      <x:c r="A147" s="11" t="str">
        <x:v>Available</x:v>
      </x:c>
      <x:c r="B147" s="12" t="n">
        <x:v>160.2</x:v>
      </x:c>
      <x:c r="C147" s="12" t="n">
        <x:f>ROUNDUP(B147/12,0)</x:f>
        <x:v>14</x:v>
      </x:c>
      <x:c r="D147" s="13" t="n">
        <x:v>167</x:v>
      </x:c>
      <x:c r="E147" s="12" t="n">
        <x:f>B147-D147</x:f>
        <x:v>-6.800000000000011</x:v>
      </x:c>
      <x:c r="F147" s="13" t="n">
        <x:v>125</x:v>
      </x:c>
      <x:c r="G147" s="12" t="n">
        <x:f>B147-F147</x:f>
        <x:v>35.19999999999999</x:v>
      </x:c>
      <x:c r="H147" s="11" t="str">
        <x:v>Depth</x:v>
      </x:c>
      <x:c r="I147" s="11" t="str">
        <x:v>Alvin Kamara</x:v>
      </x:c>
      <x:c r="J147" s="11" t="str">
        <x:v>RB</x:v>
      </x:c>
      <x:c r="K147" s="13" t="n">
        <x:v>49</x:v>
      </x:c>
      <x:c r="L147" s="13" t="str">
        <x:v>NO</x:v>
      </x:c>
      <x:c r="M147" s="13" t="n">
        <x:v>8</x:v>
      </x:c>
      <x:c r="N147" s="12" t="n">
        <x:v>154</x:v>
      </x:c>
      <x:c r="O147" s="12" t="n">
        <x:v>63</x:v>
      </x:c>
      <x:c r="P147" s="12" t="n">
        <x:f>N147-O147</x:f>
        <x:v>91</x:v>
      </x:c>
      <x:c r="Q147" s="12" t="n">
        <x:v>108.5</x:v>
      </x:c>
      <x:c r="R147" s="12" t="n">
        <x:v>9.4</x:v>
      </x:c>
      <x:c r="S147" s="12" t="n">
        <x:v>-38.2</x:v>
      </x:c>
      <x:c r="T147" s="11" t="str">
        <x:v>Medium</x:v>
      </x:c>
      <x:c r="U147" s="13" t="n">
        <x:v>8</x:v>
      </x:c>
      <x:c r="V147" s="13" t="n">
        <x:v>22</x:v>
      </x:c>
      <x:c r="W147" s="11" t="str">
        <x:v>Ques</x:v>
      </x:c>
      <x:c r="X147" s="11" t="str">
        <x:v>Veteran model: 2025 form, prior-year trend and same team pass/run forecast; team pass volume #8, rush volume #22</x:v>
      </x:c>
    </x:row>
    <x:row r="148" ht="19" customHeight="1">
      <x:c r="A148" s="11" t="str">
        <x:v>Available</x:v>
      </x:c>
      <x:c r="B148" s="12" t="n">
        <x:v>160.9</x:v>
      </x:c>
      <x:c r="C148" s="12" t="n">
        <x:f>ROUNDUP(B148/12,0)</x:f>
        <x:v>14</x:v>
      </x:c>
      <x:c r="D148" s="13" t="n">
        <x:v>134</x:v>
      </x:c>
      <x:c r="E148" s="12" t="n">
        <x:f>B148-D148</x:f>
        <x:v>26.900000000000006</x:v>
      </x:c>
      <x:c r="F148" s="13" t="n">
        <x:v>98</x:v>
      </x:c>
      <x:c r="G148" s="12" t="n">
        <x:f>B148-F148</x:f>
        <x:v>62.900000000000006</x:v>
      </x:c>
      <x:c r="H148" s="11" t="str">
        <x:v>Depth</x:v>
      </x:c>
      <x:c r="I148" s="11" t="str">
        <x:v>Tyrone Tracy</x:v>
      </x:c>
      <x:c r="J148" s="11" t="str">
        <x:v>RB</x:v>
      </x:c>
      <x:c r="K148" s="13" t="n">
        <x:v>35</x:v>
      </x:c>
      <x:c r="L148" s="13" t="str">
        <x:v>NYG</x:v>
      </x:c>
      <x:c r="M148" s="13" t="n">
        <x:v>8</x:v>
      </x:c>
      <x:c r="N148" s="12" t="n">
        <x:v>171.5</x:v>
      </x:c>
      <x:c r="O148" s="12" t="n">
        <x:v>111</x:v>
      </x:c>
      <x:c r="P148" s="12" t="n">
        <x:f>N148-O148</x:f>
        <x:v>60.5</x:v>
      </x:c>
      <x:c r="Q148" s="12" t="n">
        <x:v>150.4</x:v>
      </x:c>
      <x:c r="R148" s="12" t="n">
        <x:v>12.6</x:v>
      </x:c>
      <x:c r="S148" s="12" t="n">
        <x:v>-20.2</x:v>
      </x:c>
      <x:c r="T148" s="11" t="str">
        <x:v>High</x:v>
      </x:c>
      <x:c r="U148" s="13" t="n">
        <x:v>19</x:v>
      </x:c>
      <x:c r="V148" s="13" t="n">
        <x:v>10</x:v>
      </x:c>
      <x:c r="W148" s="11"/>
      <x:c r="X148" s="11" t="str">
        <x:v>Veteran model: 2025 form, prior-year trend and same team pass/run forecast; team pass volume #19, rush volume #10</x:v>
      </x:c>
    </x:row>
    <x:row r="149" ht="19" customHeight="1">
      <x:c r="A149" s="11" t="str">
        <x:v>Available</x:v>
      </x:c>
      <x:c r="B149" s="12" t="n">
        <x:v>163.2</x:v>
      </x:c>
      <x:c r="C149" s="12" t="n">
        <x:f>ROUNDUP(B149/12,0)</x:f>
        <x:v>14</x:v>
      </x:c>
      <x:c r="D149" s="13" t="n">
        <x:v>158</x:v>
      </x:c>
      <x:c r="E149" s="12" t="n">
        <x:f>B149-D149</x:f>
        <x:v>5.199999999999989</x:v>
      </x:c>
      <x:c r="F149" s="13" t="n">
        <x:v>156</x:v>
      </x:c>
      <x:c r="G149" s="12" t="n">
        <x:f>B149-F149</x:f>
        <x:v>7.199999999999989</x:v>
      </x:c>
      <x:c r="H149" s="11" t="str">
        <x:v>Depth</x:v>
      </x:c>
      <x:c r="I149" s="11" t="str">
        <x:v>Denzel Boston</x:v>
      </x:c>
      <x:c r="J149" s="11" t="str">
        <x:v>WR</x:v>
      </x:c>
      <x:c r="K149" s="13" t="n">
        <x:v>59</x:v>
      </x:c>
      <x:c r="L149" s="13" t="str">
        <x:v>CLE</x:v>
      </x:c>
      <x:c r="M149" s="13" t="n">
        <x:v>11</x:v>
      </x:c>
      <x:c r="N149" s="12" t="n">
        <x:v>146.6</x:v>
      </x:c>
      <x:c r="O149" s="12" t="n">
        <x:v>135</x:v>
      </x:c>
      <x:c r="P149" s="12" t="n">
        <x:f>N149-O149</x:f>
        <x:v>11.599999999999994</x:v>
      </x:c>
      <x:c r="Q149" s="12" t="n">
        <x:v>137.9</x:v>
      </x:c>
      <x:c r="R149" s="12" t="n">
        <x:v>12.8</x:v>
      </x:c>
      <x:c r="S149" s="12" t="n">
        <x:v>-33.1</x:v>
      </x:c>
      <x:c r="T149" s="11" t="str">
        <x:v>Low</x:v>
      </x:c>
      <x:c r="U149" s="13" t="n">
        <x:v>4</x:v>
      </x:c>
      <x:c r="V149" s="13" t="n">
        <x:v>26</x:v>
      </x:c>
      <x:c r="W149" s="11"/>
      <x:c r="X149" s="11" t="str">
        <x:v>Rookie model: pick 39, age and destination-team environment; team pass volume #4, rush volume #26</x:v>
      </x:c>
    </x:row>
    <x:row r="150" ht="19" customHeight="1">
      <x:c r="A150" s="11" t="str">
        <x:v>Available</x:v>
      </x:c>
      <x:c r="B150" s="12" t="n">
        <x:v>164.9</x:v>
      </x:c>
      <x:c r="C150" s="12" t="n">
        <x:f>ROUNDUP(B150/12,0)</x:f>
        <x:v>14</x:v>
      </x:c>
      <x:c r="D150" s="13" t="n">
        <x:v>109</x:v>
      </x:c>
      <x:c r="E150" s="12" t="n">
        <x:f>B150-D150</x:f>
        <x:v>55.900000000000006</x:v>
      </x:c>
      <x:c r="F150" s="13" t="n">
        <x:v>134</x:v>
      </x:c>
      <x:c r="G150" s="12" t="n">
        <x:f>B150-F150</x:f>
        <x:v>30.900000000000006</x:v>
      </x:c>
      <x:c r="H150" s="11" t="str">
        <x:v>Depth</x:v>
      </x:c>
      <x:c r="I150" s="11" t="str">
        <x:v>T.J. Hockenson</x:v>
      </x:c>
      <x:c r="J150" s="11" t="str">
        <x:v>TE</x:v>
      </x:c>
      <x:c r="K150" s="13" t="n">
        <x:v>20</x:v>
      </x:c>
      <x:c r="L150" s="13" t="str">
        <x:v>MIN</x:v>
      </x:c>
      <x:c r="M150" s="13" t="n">
        <x:v>6</x:v>
      </x:c>
      <x:c r="N150" s="12" t="n">
        <x:v>135.2</x:v>
      </x:c>
      <x:c r="O150" s="12" t="n">
        <x:v>155</x:v>
      </x:c>
      <x:c r="P150" s="12" t="n">
        <x:f>N150-O150</x:f>
        <x:v>-19.80000000000001</x:v>
      </x:c>
      <x:c r="Q150" s="12" t="n">
        <x:v>142.2</x:v>
      </x:c>
      <x:c r="R150" s="12" t="n">
        <x:v>13</x:v>
      </x:c>
      <x:c r="S150" s="12" t="n">
        <x:v>-8.4</x:v>
      </x:c>
      <x:c r="T150" s="11" t="str">
        <x:v>High</x:v>
      </x:c>
      <x:c r="U150" s="13" t="n">
        <x:v>26</x:v>
      </x:c>
      <x:c r="V150" s="13" t="n">
        <x:v>27</x:v>
      </x:c>
      <x:c r="W150" s="11"/>
      <x:c r="X150" s="11" t="str">
        <x:v>Veteran model: 2025 form, prior-year trend and same team pass/run forecast; team pass volume #26, rush volume #27</x:v>
      </x:c>
    </x:row>
    <x:row r="151" ht="19" customHeight="1">
      <x:c r="A151" s="11" t="str">
        <x:v>Available</x:v>
      </x:c>
      <x:c r="B151" s="12" t="n">
        <x:v>166.4</x:v>
      </x:c>
      <x:c r="C151" s="12" t="n">
        <x:f>ROUNDUP(B151/12,0)</x:f>
        <x:v>14</x:v>
      </x:c>
      <x:c r="D151" s="13" t="n">
        <x:v>163</x:v>
      </x:c>
      <x:c r="E151" s="12" t="n">
        <x:f>B151-D151</x:f>
        <x:v>3.4000000000000057</x:v>
      </x:c>
      <x:c r="F151" s="13" t="n">
        <x:v>114</x:v>
      </x:c>
      <x:c r="G151" s="12" t="n">
        <x:f>B151-F151</x:f>
        <x:v>52.400000000000006</x:v>
      </x:c>
      <x:c r="H151" s="11" t="str">
        <x:v>Depth</x:v>
      </x:c>
      <x:c r="I151" s="11" t="str">
        <x:v>Woody Marks</x:v>
      </x:c>
      <x:c r="J151" s="11" t="str">
        <x:v>RB</x:v>
      </x:c>
      <x:c r="K151" s="13" t="n">
        <x:v>45</x:v>
      </x:c>
      <x:c r="L151" s="13" t="str">
        <x:v>HOU</x:v>
      </x:c>
      <x:c r="M151" s="13" t="n">
        <x:v>8</x:v>
      </x:c>
      <x:c r="N151" s="12" t="n">
        <x:v>163.3</x:v>
      </x:c>
      <x:c r="O151" s="12" t="n">
        <x:v>84</x:v>
      </x:c>
      <x:c r="P151" s="12" t="n">
        <x:f>N151-O151</x:f>
        <x:v>79.30000000000001</x:v>
      </x:c>
      <x:c r="Q151" s="12" t="n">
        <x:v>123.7</x:v>
      </x:c>
      <x:c r="R151" s="12" t="n">
        <x:v>11.8</x:v>
      </x:c>
      <x:c r="S151" s="12" t="n">
        <x:v>-37.4</x:v>
      </x:c>
      <x:c r="T151" s="11" t="str">
        <x:v>Medium</x:v>
      </x:c>
      <x:c r="U151" s="13" t="n">
        <x:v>9</x:v>
      </x:c>
      <x:c r="V151" s="13" t="n">
        <x:v>17</x:v>
      </x:c>
      <x:c r="W151" s="11"/>
      <x:c r="X151" s="11" t="str">
        <x:v>Veteran model: 2025 form, prior-year trend and same team pass/run forecast; team pass volume #9, rush volume #17</x:v>
      </x:c>
    </x:row>
    <x:row r="152" ht="19" customHeight="1">
      <x:c r="A152" s="11" t="str">
        <x:v>Available</x:v>
      </x:c>
      <x:c r="B152" s="12" t="n">
        <x:v>167</x:v>
      </x:c>
      <x:c r="C152" s="12" t="n">
        <x:f>ROUNDUP(B152/12,0)</x:f>
        <x:v>14</x:v>
      </x:c>
      <x:c r="D152" s="13" t="n">
        <x:v>144</x:v>
      </x:c>
      <x:c r="E152" s="12" t="n">
        <x:f>B152-D152</x:f>
        <x:v>23</x:v>
      </x:c>
      <x:c r="F152" s="13" t="n">
        <x:v>141</x:v>
      </x:c>
      <x:c r="G152" s="12" t="n">
        <x:f>B152-F152</x:f>
        <x:v>26</x:v>
      </x:c>
      <x:c r="H152" s="11" t="str">
        <x:v>Depth</x:v>
      </x:c>
      <x:c r="I152" s="11" t="str">
        <x:v>Tyjae Spears</x:v>
      </x:c>
      <x:c r="J152" s="11" t="str">
        <x:v>RB</x:v>
      </x:c>
      <x:c r="K152" s="13" t="n">
        <x:v>41</x:v>
      </x:c>
      <x:c r="L152" s="13" t="str">
        <x:v>TEN</x:v>
      </x:c>
      <x:c r="M152" s="13" t="n">
        <x:v>9</x:v>
      </x:c>
      <x:c r="N152" s="12" t="n">
        <x:v>150.5</x:v>
      </x:c>
      <x:c r="O152" s="12" t="n">
        <x:v>115</x:v>
      </x:c>
      <x:c r="P152" s="12" t="n">
        <x:f>N152-O152</x:f>
        <x:v>35.5</x:v>
      </x:c>
      <x:c r="Q152" s="12" t="n">
        <x:v>138.1</x:v>
      </x:c>
      <x:c r="R152" s="12" t="n">
        <x:v>11.1</x:v>
      </x:c>
      <x:c r="S152" s="12" t="n">
        <x:v>-25.8</x:v>
      </x:c>
      <x:c r="T152" s="11" t="str">
        <x:v>High</x:v>
      </x:c>
      <x:c r="U152" s="13" t="n">
        <x:v>18</x:v>
      </x:c>
      <x:c r="V152" s="13" t="n">
        <x:v>30</x:v>
      </x:c>
      <x:c r="W152" s="11"/>
      <x:c r="X152" s="11" t="str">
        <x:v>Veteran model: 2025 form, prior-year trend and same team pass/run forecast; team pass volume #18, rush volume #30</x:v>
      </x:c>
    </x:row>
    <x:row r="153" ht="19" customHeight="1">
      <x:c r="A153" s="11" t="str">
        <x:v>Available</x:v>
      </x:c>
      <x:c r="B153" s="12" t="n">
        <x:v>167.3</x:v>
      </x:c>
      <x:c r="C153" s="12" t="n">
        <x:f>ROUNDUP(B153/12,0)</x:f>
        <x:v>14</x:v>
      </x:c>
      <x:c r="D153" s="13" t="n">
        <x:v>205</x:v>
      </x:c>
      <x:c r="E153" s="12" t="n">
        <x:f>B153-D153</x:f>
        <x:v>-37.69999999999999</x:v>
      </x:c>
      <x:c r="F153" s="13" t="n">
        <x:v>150</x:v>
      </x:c>
      <x:c r="G153" s="12" t="n">
        <x:f>B153-F153</x:f>
        <x:v>17.30000000000001</x:v>
      </x:c>
      <x:c r="H153" s="11" t="str">
        <x:v>Depth</x:v>
      </x:c>
      <x:c r="I153" s="11" t="str">
        <x:v>Jonah Coleman</x:v>
      </x:c>
      <x:c r="J153" s="11" t="str">
        <x:v>RB</x:v>
      </x:c>
      <x:c r="K153" s="13" t="n">
        <x:v>55</x:v>
      </x:c>
      <x:c r="L153" s="13" t="str">
        <x:v>DEN</x:v>
      </x:c>
      <x:c r="M153" s="13" t="n">
        <x:v>10</x:v>
      </x:c>
      <x:c r="N153" s="12" t="n">
        <x:v>140.6</x:v>
      </x:c>
      <x:c r="O153" s="12" t="n">
        <x:v>64</x:v>
      </x:c>
      <x:c r="P153" s="12" t="n">
        <x:f>N153-O153</x:f>
        <x:v>76.6</x:v>
      </x:c>
      <x:c r="Q153" s="12" t="n">
        <x:v>83.1</x:v>
      </x:c>
      <x:c r="R153" s="12" t="n">
        <x:v>10</x:v>
      </x:c>
      <x:c r="S153" s="12" t="n">
        <x:v>-55.6</x:v>
      </x:c>
      <x:c r="T153" s="11" t="str">
        <x:v>Low</x:v>
      </x:c>
      <x:c r="U153" s="13" t="n">
        <x:v>6</x:v>
      </x:c>
      <x:c r="V153" s="13" t="n">
        <x:v>19</x:v>
      </x:c>
      <x:c r="W153" s="11"/>
      <x:c r="X153" s="11" t="str">
        <x:v>Rookie model: pick 108, age and destination-team environment; team pass volume #6, rush volume #19</x:v>
      </x:c>
    </x:row>
    <x:row r="154" ht="19" customHeight="1">
      <x:c r="A154" s="11" t="str">
        <x:v>Available</x:v>
      </x:c>
      <x:c r="B154" s="12" t="n">
        <x:v>169.4</x:v>
      </x:c>
      <x:c r="C154" s="12" t="n">
        <x:f>ROUNDUP(B154/12,0)</x:f>
        <x:v>15</x:v>
      </x:c>
      <x:c r="D154" s="13" t="n">
        <x:v>137</x:v>
      </x:c>
      <x:c r="E154" s="12" t="n">
        <x:f>B154-D154</x:f>
        <x:v>32.400000000000006</x:v>
      </x:c>
      <x:c r="F154" s="13" t="n">
        <x:v>169</x:v>
      </x:c>
      <x:c r="G154" s="12" t="n">
        <x:f>B154-F154</x:f>
        <x:v>0.4000000000000057</x:v>
      </x:c>
      <x:c r="H154" s="11" t="str">
        <x:v>Depth</x:v>
      </x:c>
      <x:c r="I154" s="11" t="str">
        <x:v>Tyler Shough</x:v>
      </x:c>
      <x:c r="J154" s="11" t="str">
        <x:v>QB</x:v>
      </x:c>
      <x:c r="K154" s="13" t="n">
        <x:v>24</x:v>
      </x:c>
      <x:c r="L154" s="13" t="str">
        <x:v>NO</x:v>
      </x:c>
      <x:c r="M154" s="13" t="n">
        <x:v>8</x:v>
      </x:c>
      <x:c r="N154" s="12" t="n">
        <x:v>233.5</x:v>
      </x:c>
      <x:c r="O154" s="12" t="n">
        <x:v>271</x:v>
      </x:c>
      <x:c r="P154" s="12" t="n">
        <x:f>N154-O154</x:f>
        <x:v>-37.5</x:v>
      </x:c>
      <x:c r="Q154" s="12" t="n">
        <x:v>252.3</x:v>
      </x:c>
      <x:c r="R154" s="12" t="n">
        <x:v>10.8</x:v>
      </x:c>
      <x:c r="S154" s="12" t="n">
        <x:v>-21.5</x:v>
      </x:c>
      <x:c r="T154" s="11" t="str">
        <x:v>Medium</x:v>
      </x:c>
      <x:c r="U154" s="13" t="n">
        <x:v>8</x:v>
      </x:c>
      <x:c r="V154" s="13" t="n">
        <x:v>22</x:v>
      </x:c>
      <x:c r="W154" s="11"/>
      <x:c r="X154" s="11" t="str">
        <x:v>Veteran model: 2025 form, prior-year trend and same team pass/run forecast; team pass volume #8, rush volume #22</x:v>
      </x:c>
    </x:row>
    <x:row r="155" ht="19" customHeight="1">
      <x:c r="A155" s="11" t="str">
        <x:v>Available</x:v>
      </x:c>
      <x:c r="B155" s="12" t="n">
        <x:v>171.9</x:v>
      </x:c>
      <x:c r="C155" s="12" t="n">
        <x:f>ROUNDUP(B155/12,0)</x:f>
        <x:v>15</x:v>
      </x:c>
      <x:c r="D155" s="13" t="n">
        <x:v>142</x:v>
      </x:c>
      <x:c r="E155" s="12" t="n">
        <x:f>B155-D155</x:f>
        <x:v>29.900000000000006</x:v>
      </x:c>
      <x:c r="F155" s="13" t="n">
        <x:v>183</x:v>
      </x:c>
      <x:c r="G155" s="12" t="n">
        <x:f>B155-F155</x:f>
        <x:v>-11.099999999999994</x:v>
      </x:c>
      <x:c r="H155" s="11" t="str">
        <x:v>Depth</x:v>
      </x:c>
      <x:c r="I155" s="11" t="str">
        <x:v>Chig Okonkwo</x:v>
      </x:c>
      <x:c r="J155" s="11" t="str">
        <x:v>TE</x:v>
      </x:c>
      <x:c r="K155" s="13" t="n">
        <x:v>23</x:v>
      </x:c>
      <x:c r="L155" s="13" t="str">
        <x:v>WAS</x:v>
      </x:c>
      <x:c r="M155" s="13" t="n">
        <x:v>7</x:v>
      </x:c>
      <x:c r="N155" s="12" t="n">
        <x:v>118.5</x:v>
      </x:c>
      <x:c r="O155" s="12" t="n">
        <x:v>144</x:v>
      </x:c>
      <x:c r="P155" s="12" t="n">
        <x:f>N155-O155</x:f>
        <x:v>-25.5</x:v>
      </x:c>
      <x:c r="Q155" s="12" t="n">
        <x:v>127.4</x:v>
      </x:c>
      <x:c r="R155" s="12" t="n">
        <x:v>15.5</x:v>
      </x:c>
      <x:c r="S155" s="12" t="n">
        <x:v>-23.5</x:v>
      </x:c>
      <x:c r="T155" s="11" t="str">
        <x:v>High</x:v>
      </x:c>
      <x:c r="U155" s="13" t="n">
        <x:v>29</x:v>
      </x:c>
      <x:c r="V155" s="13" t="n">
        <x:v>8</x:v>
      </x:c>
      <x:c r="W155" s="11"/>
      <x:c r="X155" s="11" t="str">
        <x:v>Veteran model: 2025 form, prior-year trend and new team pass/run forecast; team pass volume #29, rush volume #8</x:v>
      </x:c>
    </x:row>
    <x:row r="156" ht="19" customHeight="1">
      <x:c r="A156" s="11" t="str">
        <x:v>Available</x:v>
      </x:c>
      <x:c r="B156" s="12" t="n">
        <x:v>173.3</x:v>
      </x:c>
      <x:c r="C156" s="12" t="n">
        <x:f>ROUNDUP(B156/12,0)</x:f>
        <x:v>15</x:v>
      </x:c>
      <x:c r="D156" s="13" t="n">
        <x:v>168</x:v>
      </x:c>
      <x:c r="E156" s="12" t="n">
        <x:f>B156-D156</x:f>
        <x:v>5.300000000000011</x:v>
      </x:c>
      <x:c r="F156" s="13" t="n">
        <x:v>145</x:v>
      </x:c>
      <x:c r="G156" s="12" t="n">
        <x:f>B156-F156</x:f>
        <x:v>28.30000000000001</x:v>
      </x:c>
      <x:c r="H156" s="11" t="str">
        <x:v>Depth</x:v>
      </x:c>
      <x:c r="I156" s="11" t="str">
        <x:v>Omar Cooper</x:v>
      </x:c>
      <x:c r="J156" s="11" t="str">
        <x:v>WR</x:v>
      </x:c>
      <x:c r="K156" s="13" t="n">
        <x:v>61</x:v>
      </x:c>
      <x:c r="L156" s="13" t="str">
        <x:v>NYJ</x:v>
      </x:c>
      <x:c r="M156" s="13" t="n">
        <x:v>13</x:v>
      </x:c>
      <x:c r="N156" s="12" t="n">
        <x:v>152.4</x:v>
      </x:c>
      <x:c r="O156" s="12" t="n">
        <x:v>127</x:v>
      </x:c>
      <x:c r="P156" s="12" t="n">
        <x:f>N156-O156</x:f>
        <x:v>25.400000000000006</x:v>
      </x:c>
      <x:c r="Q156" s="12" t="n">
        <x:v>133.3</x:v>
      </x:c>
      <x:c r="R156" s="12" t="n">
        <x:v>13.6</x:v>
      </x:c>
      <x:c r="S156" s="12" t="n">
        <x:v>-38.8</x:v>
      </x:c>
      <x:c r="T156" s="11" t="str">
        <x:v>Low</x:v>
      </x:c>
      <x:c r="U156" s="13" t="n">
        <x:v>20</x:v>
      </x:c>
      <x:c r="V156" s="13" t="n">
        <x:v>28</x:v>
      </x:c>
      <x:c r="W156" s="11"/>
      <x:c r="X156" s="11" t="str">
        <x:v>Rookie model: pick 30, age and destination-team environment; team pass volume #20, rush volume #28</x:v>
      </x:c>
    </x:row>
    <x:row r="157" ht="19" customHeight="1">
      <x:c r="A157" s="11" t="str">
        <x:v>Available</x:v>
      </x:c>
      <x:c r="B157" s="12" t="n">
        <x:v>174.3</x:v>
      </x:c>
      <x:c r="C157" s="12" t="n">
        <x:f>ROUNDUP(B157/12,0)</x:f>
        <x:v>15</x:v>
      </x:c>
      <x:c r="D157" s="13" t="n">
        <x:v>194</x:v>
      </x:c>
      <x:c r="E157" s="12" t="n">
        <x:f>B157-D157</x:f>
        <x:v>-19.69999999999999</x:v>
      </x:c>
      <x:c r="F157" s="13" t="n">
        <x:v>215</x:v>
      </x:c>
      <x:c r="G157" s="12" t="n">
        <x:f>B157-F157</x:f>
        <x:v>-40.69999999999999</x:v>
      </x:c>
      <x:c r="H157" s="11" t="str">
        <x:v>Depth</x:v>
      </x:c>
      <x:c r="I157" s="11" t="str">
        <x:v>Ja'Kobi Lane</x:v>
      </x:c>
      <x:c r="J157" s="11" t="str">
        <x:v>WR</x:v>
      </x:c>
      <x:c r="K157" s="13" t="n">
        <x:v>80</x:v>
      </x:c>
      <x:c r="L157" s="13" t="str">
        <x:v>BAL</x:v>
      </x:c>
      <x:c r="M157" s="13" t="n">
        <x:v>13</x:v>
      </x:c>
      <x:c r="N157" s="12" t="n">
        <x:v>101.6</x:v>
      </x:c>
      <x:c r="O157" s="12" t="n">
        <x:v>105</x:v>
      </x:c>
      <x:c r="P157" s="12" t="n">
        <x:f>N157-O157</x:f>
        <x:v>-3.4000000000000057</x:v>
      </x:c>
      <x:c r="Q157" s="12" t="n">
        <x:v>104.1</x:v>
      </x:c>
      <x:c r="R157" s="12" t="n">
        <x:v>10.5</x:v>
      </x:c>
      <x:c r="S157" s="12" t="n">
        <x:v>-48</x:v>
      </x:c>
      <x:c r="T157" s="11" t="str">
        <x:v>Low</x:v>
      </x:c>
      <x:c r="U157" s="13" t="n">
        <x:v>32</x:v>
      </x:c>
      <x:c r="V157" s="13" t="n">
        <x:v>1</x:v>
      </x:c>
      <x:c r="W157" s="11"/>
      <x:c r="X157" s="11" t="str">
        <x:v>Rookie model: pick 80, age and destination-team environment; team pass volume #32, rush volume #1</x:v>
      </x:c>
    </x:row>
    <x:row r="158" ht="19" customHeight="1">
      <x:c r="A158" s="11" t="str">
        <x:v>Available</x:v>
      </x:c>
      <x:c r="B158" s="12" t="n">
        <x:v>176.1</x:v>
      </x:c>
      <x:c r="C158" s="12" t="n">
        <x:f>ROUNDUP(B158/12,0)</x:f>
        <x:v>15</x:v>
      </x:c>
      <x:c r="D158" s="13" t="n">
        <x:v>130</x:v>
      </x:c>
      <x:c r="E158" s="12" t="n">
        <x:f>B158-D158</x:f>
        <x:v>46.099999999999994</x:v>
      </x:c>
      <x:c r="F158" s="13" t="n">
        <x:v>67</x:v>
      </x:c>
      <x:c r="G158" s="12" t="n">
        <x:f>B158-F158</x:f>
        <x:v>109.1</x:v>
      </x:c>
      <x:c r="H158" s="11" t="str">
        <x:v>Depth</x:v>
      </x:c>
      <x:c r="I158" s="11" t="str">
        <x:v>Tank Dell</x:v>
      </x:c>
      <x:c r="J158" s="11" t="str">
        <x:v>WR</x:v>
      </x:c>
      <x:c r="K158" s="13" t="n">
        <x:v>53</x:v>
      </x:c>
      <x:c r="L158" s="13" t="str">
        <x:v>HOU</x:v>
      </x:c>
      <x:c r="M158" s="13" t="n">
        <x:v>8</x:v>
      </x:c>
      <x:c r="N158" s="12" t="n">
        <x:v>191.8</x:v>
      </x:c>
      <x:c r="O158" s="12" t="n">
        <x:v>116</x:v>
      </x:c>
      <x:c r="P158" s="12" t="n">
        <x:f>N158-O158</x:f>
        <x:v>75.80000000000001</x:v>
      </x:c>
      <x:c r="Q158" s="12" t="n">
        <x:v>153.9</x:v>
      </x:c>
      <x:c r="R158" s="12" t="n">
        <x:v>11.5</x:v>
      </x:c>
      <x:c r="S158" s="12" t="n">
        <x:v>-18.9</x:v>
      </x:c>
      <x:c r="T158" s="11" t="str">
        <x:v>Medium</x:v>
      </x:c>
      <x:c r="U158" s="13" t="n">
        <x:v>9</x:v>
      </x:c>
      <x:c r="V158" s="13" t="n">
        <x:v>17</x:v>
      </x:c>
      <x:c r="W158" s="11" t="str">
        <x:v>Ques</x:v>
      </x:c>
      <x:c r="X158" s="11" t="str">
        <x:v>Veteran model: 2024 form, prior-year trend and same team pass/run forecast; team pass volume #9, rush volume #17</x:v>
      </x:c>
    </x:row>
    <x:row r="159" ht="19" customHeight="1">
      <x:c r="A159" s="11" t="str">
        <x:v>Available</x:v>
      </x:c>
      <x:c r="B159" s="12" t="n">
        <x:v>177.5</x:v>
      </x:c>
      <x:c r="C159" s="12" t="n">
        <x:f>ROUNDUP(B159/12,0)</x:f>
        <x:v>15</x:v>
      </x:c>
      <x:c r="D159" s="13" t="n">
        <x:v>125</x:v>
      </x:c>
      <x:c r="E159" s="12" t="n">
        <x:f>B159-D159</x:f>
        <x:v>52.5</x:v>
      </x:c>
      <x:c r="F159" s="13" t="n">
        <x:v>121</x:v>
      </x:c>
      <x:c r="G159" s="12" t="n">
        <x:f>B159-F159</x:f>
        <x:v>56.5</x:v>
      </x:c>
      <x:c r="H159" s="11" t="str">
        <x:v>Depth</x:v>
      </x:c>
      <x:c r="I159" s="11" t="str">
        <x:v>Sam Darnold</x:v>
      </x:c>
      <x:c r="J159" s="11" t="str">
        <x:v>QB</x:v>
      </x:c>
      <x:c r="K159" s="13" t="n">
        <x:v>20</x:v>
      </x:c>
      <x:c r="L159" s="13" t="str">
        <x:v>SEA</x:v>
      </x:c>
      <x:c r="M159" s="13" t="n">
        <x:v>11</x:v>
      </x:c>
      <x:c r="N159" s="12" t="n">
        <x:v>263.8</x:v>
      </x:c>
      <x:c r="O159" s="12" t="n">
        <x:v>263</x:v>
      </x:c>
      <x:c r="P159" s="12" t="n">
        <x:f>N159-O159</x:f>
        <x:v>0.8000000000000114</x:v>
      </x:c>
      <x:c r="Q159" s="12" t="n">
        <x:v>263.5</x:v>
      </x:c>
      <x:c r="R159" s="12" t="n">
        <x:v>12.9</x:v>
      </x:c>
      <x:c r="S159" s="12" t="n">
        <x:v>-17.2</x:v>
      </x:c>
      <x:c r="T159" s="11" t="str">
        <x:v>High</x:v>
      </x:c>
      <x:c r="U159" s="13" t="n">
        <x:v>23</x:v>
      </x:c>
      <x:c r="V159" s="13" t="n">
        <x:v>21</x:v>
      </x:c>
      <x:c r="W159" s="11"/>
      <x:c r="X159" s="11" t="str">
        <x:v>Veteran model: 2025 form, prior-year trend and same team pass/run forecast; team pass volume #23, rush volume #21</x:v>
      </x:c>
    </x:row>
    <x:row r="160" ht="19" customHeight="1">
      <x:c r="A160" s="11" t="str">
        <x:v>Available</x:v>
      </x:c>
      <x:c r="B160" s="12" t="n">
        <x:v>178.3</x:v>
      </x:c>
      <x:c r="C160" s="12" t="n">
        <x:f>ROUNDUP(B160/12,0)</x:f>
        <x:v>15</x:v>
      </x:c>
      <x:c r="D160" s="13" t="n">
        <x:v>185</x:v>
      </x:c>
      <x:c r="E160" s="12" t="n">
        <x:f>B160-D160</x:f>
        <x:v>-6.699999999999989</x:v>
      </x:c>
      <x:c r="F160" s="13" t="n">
        <x:v>112</x:v>
      </x:c>
      <x:c r="G160" s="12" t="n">
        <x:f>B160-F160</x:f>
        <x:v>66.30000000000001</x:v>
      </x:c>
      <x:c r="H160" s="11" t="str">
        <x:v>Depth</x:v>
      </x:c>
      <x:c r="I160" s="11" t="str">
        <x:v>Fernando Mendoza</x:v>
      </x:c>
      <x:c r="J160" s="11" t="str">
        <x:v>QB</x:v>
      </x:c>
      <x:c r="K160" s="13" t="n">
        <x:v>27</x:v>
      </x:c>
      <x:c r="L160" s="13" t="str">
        <x:v>LV</x:v>
      </x:c>
      <x:c r="M160" s="13" t="n">
        <x:v>13</x:v>
      </x:c>
      <x:c r="N160" s="12" t="n">
        <x:v>266.6</x:v>
      </x:c>
      <x:c r="O160" s="12" t="n">
        <x:v>212</x:v>
      </x:c>
      <x:c r="P160" s="12" t="n">
        <x:f>N160-O160</x:f>
        <x:v>54.60000000000002</x:v>
      </x:c>
      <x:c r="Q160" s="12" t="n">
        <x:v>225.6</x:v>
      </x:c>
      <x:c r="R160" s="12" t="n">
        <x:v>13.1</x:v>
      </x:c>
      <x:c r="S160" s="12" t="n">
        <x:v>-46.7</x:v>
      </x:c>
      <x:c r="T160" s="11" t="str">
        <x:v>Low</x:v>
      </x:c>
      <x:c r="U160" s="13" t="n">
        <x:v>15</x:v>
      </x:c>
      <x:c r="V160" s="13" t="n">
        <x:v>32</x:v>
      </x:c>
      <x:c r="W160" s="11"/>
      <x:c r="X160" s="11" t="str">
        <x:v>Rookie model: pick 1, age and destination-team environment; team pass volume #15, rush volume #32</x:v>
      </x:c>
    </x:row>
    <x:row r="161" ht="19" customHeight="1">
      <x:c r="A161" s="11" t="str">
        <x:v>Available</x:v>
      </x:c>
      <x:c r="B161" s="12" t="n">
        <x:v>180.4</x:v>
      </x:c>
      <x:c r="C161" s="12" t="n">
        <x:f>ROUNDUP(B161/12,0)</x:f>
        <x:v>16</x:v>
      </x:c>
      <x:c r="D161" s="13" t="n">
        <x:v>219</x:v>
      </x:c>
      <x:c r="E161" s="12" t="n">
        <x:f>B161-D161</x:f>
        <x:v>-38.599999999999994</x:v>
      </x:c>
      <x:c r="F161" s="13" t="n">
        <x:v>234</x:v>
      </x:c>
      <x:c r="G161" s="12" t="n">
        <x:f>B161-F161</x:f>
        <x:v>-53.599999999999994</x:v>
      </x:c>
      <x:c r="H161" s="11" t="str">
        <x:v>Depth</x:v>
      </x:c>
      <x:c r="I161" s="11" t="str">
        <x:v>Keaton Mitchell</x:v>
      </x:c>
      <x:c r="J161" s="11" t="str">
        <x:v>RB</x:v>
      </x:c>
      <x:c r="K161" s="13" t="n">
        <x:v>57</x:v>
      </x:c>
      <x:c r="L161" s="13" t="str">
        <x:v>LAC</x:v>
      </x:c>
      <x:c r="M161" s="13" t="n">
        <x:v>7</x:v>
      </x:c>
      <x:c r="N161" s="12" t="n">
        <x:v>70.1</x:v>
      </x:c>
      <x:c r="O161" s="12" t="n">
        <x:v>97</x:v>
      </x:c>
      <x:c r="P161" s="12" t="n">
        <x:f>N161-O161</x:f>
        <x:v>-26.900000000000006</x:v>
      </x:c>
      <x:c r="Q161" s="12" t="n">
        <x:v>79.5</x:v>
      </x:c>
      <x:c r="R161" s="12" t="n">
        <x:v>10.8</x:v>
      </x:c>
      <x:c r="S161" s="12" t="n">
        <x:v>-62.3</x:v>
      </x:c>
      <x:c r="T161" s="11" t="str">
        <x:v>High</x:v>
      </x:c>
      <x:c r="U161" s="13" t="n">
        <x:v>14</x:v>
      </x:c>
      <x:c r="V161" s="13" t="n">
        <x:v>16</x:v>
      </x:c>
      <x:c r="W161" s="11"/>
      <x:c r="X161" s="11" t="str">
        <x:v>Veteran model: 2025 form, prior-year trend and new team pass/run forecast; team pass volume #14, rush volume #16</x:v>
      </x:c>
    </x:row>
    <x:row r="162" ht="19" customHeight="1">
      <x:c r="A162" s="11" t="str">
        <x:v>Available</x:v>
      </x:c>
      <x:c r="B162" s="12" t="n">
        <x:v>181.2</x:v>
      </x:c>
      <x:c r="C162" s="12" t="n">
        <x:f>ROUNDUP(B162/12,0)</x:f>
        <x:v>16</x:v>
      </x:c>
      <x:c r="D162" s="13" t="n">
        <x:v>213</x:v>
      </x:c>
      <x:c r="E162" s="12" t="n">
        <x:f>B162-D162</x:f>
        <x:v>-31.80000000000001</x:v>
      </x:c>
      <x:c r="F162" s="13" t="n">
        <x:v>225</x:v>
      </x:c>
      <x:c r="G162" s="12" t="n">
        <x:f>B162-F162</x:f>
        <x:v>-43.80000000000001</x:v>
      </x:c>
      <x:c r="H162" s="11" t="str">
        <x:v>Depth</x:v>
      </x:c>
      <x:c r="I162" s="11" t="str">
        <x:v>Tank Bigsby</x:v>
      </x:c>
      <x:c r="J162" s="11" t="str">
        <x:v>RB</x:v>
      </x:c>
      <x:c r="K162" s="13" t="n">
        <x:v>51</x:v>
      </x:c>
      <x:c r="L162" s="13" t="str">
        <x:v>PHI</x:v>
      </x:c>
      <x:c r="M162" s="13" t="n">
        <x:v>10</x:v>
      </x:c>
      <x:c r="N162" s="12" t="n">
        <x:v>102.7</x:v>
      </x:c>
      <x:c r="O162" s="12" t="n">
        <x:v>65</x:v>
      </x:c>
      <x:c r="P162" s="12" t="n">
        <x:f>N162-O162</x:f>
        <x:v>37.7</x:v>
      </x:c>
      <x:c r="Q162" s="12" t="n">
        <x:v>89.5</x:v>
      </x:c>
      <x:c r="R162" s="12" t="n">
        <x:v>11.6</x:v>
      </x:c>
      <x:c r="S162" s="12" t="n">
        <x:v>-60.1</x:v>
      </x:c>
      <x:c r="T162" s="11" t="str">
        <x:v>High</x:v>
      </x:c>
      <x:c r="U162" s="13" t="n">
        <x:v>31</x:v>
      </x:c>
      <x:c r="V162" s="13" t="n">
        <x:v>2</x:v>
      </x:c>
      <x:c r="W162" s="11"/>
      <x:c r="X162" s="11" t="str">
        <x:v>Veteran model: 2025 form, prior-year trend and same team pass/run forecast; team pass volume #31, rush volume #2</x:v>
      </x:c>
    </x:row>
    <x:row r="163" ht="19" customHeight="1">
      <x:c r="A163" s="11" t="str">
        <x:v>Available</x:v>
      </x:c>
      <x:c r="B163" s="12" t="n">
        <x:v>183.9</x:v>
      </x:c>
      <x:c r="C163" s="12" t="n">
        <x:f>ROUNDUP(B163/12,0)</x:f>
        <x:v>16</x:v>
      </x:c>
      <x:c r="D163" s="13" t="n">
        <x:v>197</x:v>
      </x:c>
      <x:c r="E163" s="12" t="n">
        <x:f>B163-D163</x:f>
        <x:v>-13.099999999999994</x:v>
      </x:c>
      <x:c r="F163" s="13" t="n">
        <x:v>230</x:v>
      </x:c>
      <x:c r="G163" s="12" t="n">
        <x:f>B163-F163</x:f>
        <x:v>-46.099999999999994</x:v>
      </x:c>
      <x:c r="H163" s="11" t="str">
        <x:v>Depth</x:v>
      </x:c>
      <x:c r="I163" s="11" t="str">
        <x:v>Jalen Nailor</x:v>
      </x:c>
      <x:c r="J163" s="11" t="str">
        <x:v>WR</x:v>
      </x:c>
      <x:c r="K163" s="13" t="n">
        <x:v>73</x:v>
      </x:c>
      <x:c r="L163" s="13" t="str">
        <x:v>LV</x:v>
      </x:c>
      <x:c r="M163" s="13" t="n">
        <x:v>13</x:v>
      </x:c>
      <x:c r="N163" s="12" t="n">
        <x:v>103.4</x:v>
      </x:c>
      <x:c r="O163" s="12" t="n">
        <x:v>131</x:v>
      </x:c>
      <x:c r="P163" s="12" t="n">
        <x:f>N163-O163</x:f>
        <x:v>-27.599999999999994</x:v>
      </x:c>
      <x:c r="Q163" s="12" t="n">
        <x:v>113.1</x:v>
      </x:c>
      <x:c r="R163" s="12" t="n">
        <x:v>12.7</x:v>
      </x:c>
      <x:c r="S163" s="12" t="n">
        <x:v>-51.3</x:v>
      </x:c>
      <x:c r="T163" s="11" t="str">
        <x:v>High</x:v>
      </x:c>
      <x:c r="U163" s="13" t="n">
        <x:v>15</x:v>
      </x:c>
      <x:c r="V163" s="13" t="n">
        <x:v>32</x:v>
      </x:c>
      <x:c r="W163" s="11"/>
      <x:c r="X163" s="11" t="str">
        <x:v>Veteran model: 2025 form, prior-year trend and new team pass/run forecast; team pass volume #15, rush volume #32</x:v>
      </x:c>
    </x:row>
    <x:row r="164" ht="19" customHeight="1">
      <x:c r="A164" s="11" t="str">
        <x:v>Available</x:v>
      </x:c>
      <x:c r="B164" s="12" t="n">
        <x:v>185.4</x:v>
      </x:c>
      <x:c r="C164" s="12" t="n">
        <x:f>ROUNDUP(B164/12,0)</x:f>
        <x:v>16</x:v>
      </x:c>
      <x:c r="D164" s="13" t="n">
        <x:v>129</x:v>
      </x:c>
      <x:c r="E164" s="12" t="n">
        <x:f>B164-D164</x:f>
        <x:v>56.400000000000006</x:v>
      </x:c>
      <x:c r="F164" s="13" t="n">
        <x:v>163</x:v>
      </x:c>
      <x:c r="G164" s="12" t="n">
        <x:f>B164-F164</x:f>
        <x:v>22.400000000000006</x:v>
      </x:c>
      <x:c r="H164" s="11" t="str">
        <x:v>Depth</x:v>
      </x:c>
      <x:c r="I164" s="11" t="str">
        <x:v>AJ Barner</x:v>
      </x:c>
      <x:c r="J164" s="11" t="str">
        <x:v>TE</x:v>
      </x:c>
      <x:c r="K164" s="13" t="n">
        <x:v>22</x:v>
      </x:c>
      <x:c r="L164" s="13" t="str">
        <x:v>SEA</x:v>
      </x:c>
      <x:c r="M164" s="13" t="n">
        <x:v>11</x:v>
      </x:c>
      <x:c r="N164" s="12" t="n">
        <x:v>122.3</x:v>
      </x:c>
      <x:c r="O164" s="12" t="n">
        <x:v>142</x:v>
      </x:c>
      <x:c r="P164" s="12" t="n">
        <x:f>N164-O164</x:f>
        <x:v>-19.700000000000003</x:v>
      </x:c>
      <x:c r="Q164" s="12" t="n">
        <x:v>129.2</x:v>
      </x:c>
      <x:c r="R164" s="12" t="n">
        <x:v>13.2</x:v>
      </x:c>
      <x:c r="S164" s="12" t="n">
        <x:v>-18.6</x:v>
      </x:c>
      <x:c r="T164" s="11" t="str">
        <x:v>High</x:v>
      </x:c>
      <x:c r="U164" s="13" t="n">
        <x:v>23</x:v>
      </x:c>
      <x:c r="V164" s="13" t="n">
        <x:v>21</x:v>
      </x:c>
      <x:c r="W164" s="11"/>
      <x:c r="X164" s="11" t="str">
        <x:v>Veteran model: 2025 form, prior-year trend and same team pass/run forecast; team pass volume #23, rush volume #21</x:v>
      </x:c>
    </x:row>
    <x:row r="165" ht="19" customHeight="1">
      <x:c r="A165" s="11" t="str">
        <x:v>Available</x:v>
      </x:c>
      <x:c r="B165" s="12" t="n">
        <x:v>186.6</x:v>
      </x:c>
      <x:c r="C165" s="12" t="n">
        <x:f>ROUNDUP(B165/12,0)</x:f>
        <x:v>16</x:v>
      </x:c>
      <x:c r="D165" s="13" t="n">
        <x:v>211</x:v>
      </x:c>
      <x:c r="E165" s="12" t="n">
        <x:f>B165-D165</x:f>
        <x:v>-24.400000000000006</x:v>
      </x:c>
      <x:c r="F165" s="13" t="n">
        <x:v>219</x:v>
      </x:c>
      <x:c r="G165" s="12" t="n">
        <x:f>B165-F165</x:f>
        <x:v>-32.400000000000006</x:v>
      </x:c>
      <x:c r="H165" s="11" t="str">
        <x:v>Depth</x:v>
      </x:c>
      <x:c r="I165" s="11" t="str">
        <x:v>Isiah Pacheco</x:v>
      </x:c>
      <x:c r="J165" s="11" t="str">
        <x:v>RB</x:v>
      </x:c>
      <x:c r="K165" s="13" t="n">
        <x:v>52</x:v>
      </x:c>
      <x:c r="L165" s="13" t="str">
        <x:v>DET</x:v>
      </x:c>
      <x:c r="M165" s="13" t="n">
        <x:v>6</x:v>
      </x:c>
      <x:c r="N165" s="12" t="n">
        <x:v>104.2</x:v>
      </x:c>
      <x:c r="O165" s="12" t="n">
        <x:v>54</x:v>
      </x:c>
      <x:c r="P165" s="12" t="n">
        <x:f>N165-O165</x:f>
        <x:v>50.2</x:v>
      </x:c>
      <x:c r="Q165" s="12" t="n">
        <x:v>86.6</x:v>
      </x:c>
      <x:c r="R165" s="12" t="n">
        <x:v>11.1</x:v>
      </x:c>
      <x:c r="S165" s="12" t="n">
        <x:v>-59.4</x:v>
      </x:c>
      <x:c r="T165" s="11" t="str">
        <x:v>High</x:v>
      </x:c>
      <x:c r="U165" s="13" t="n">
        <x:v>10</x:v>
      </x:c>
      <x:c r="V165" s="13" t="n">
        <x:v>7</x:v>
      </x:c>
      <x:c r="W165" s="11" t="str">
        <x:v>Ques</x:v>
      </x:c>
      <x:c r="X165" s="11" t="str">
        <x:v>Veteran model: 2025 form, prior-year trend and new team pass/run forecast; team pass volume #10, rush volume #7</x:v>
      </x:c>
    </x:row>
    <x:row r="166" ht="19" customHeight="1">
      <x:c r="A166" s="11" t="str">
        <x:v>Available</x:v>
      </x:c>
      <x:c r="B166" s="12" t="n">
        <x:v>187.1</x:v>
      </x:c>
      <x:c r="C166" s="12" t="n">
        <x:f>ROUNDUP(B166/12,0)</x:f>
        <x:v>16</x:v>
      </x:c>
      <x:c r="D166" s="13" t="n">
        <x:v>88</x:v>
      </x:c>
      <x:c r="E166" s="12" t="n">
        <x:f>B166-D166</x:f>
        <x:v>99.1</x:v>
      </x:c>
      <x:c r="F166" s="13" t="n">
        <x:v>84</x:v>
      </x:c>
      <x:c r="G166" s="12" t="n">
        <x:f>B166-F166</x:f>
        <x:v>103.1</x:v>
      </x:c>
      <x:c r="H166" s="11" t="str">
        <x:v>Depth</x:v>
      </x:c>
      <x:c r="I166" s="11" t="str">
        <x:v>Juwan Johnson</x:v>
      </x:c>
      <x:c r="J166" s="11" t="str">
        <x:v>TE</x:v>
      </x:c>
      <x:c r="K166" s="13" t="n">
        <x:v>13</x:v>
      </x:c>
      <x:c r="L166" s="13" t="str">
        <x:v>NO</x:v>
      </x:c>
      <x:c r="M166" s="13" t="n">
        <x:v>8</x:v>
      </x:c>
      <x:c r="N166" s="12" t="n">
        <x:v>159.7</x:v>
      </x:c>
      <x:c r="O166" s="12" t="n">
        <x:v>141</x:v>
      </x:c>
      <x:c r="P166" s="12" t="n">
        <x:f>N166-O166</x:f>
        <x:v>18.69999999999999</x:v>
      </x:c>
      <x:c r="Q166" s="12" t="n">
        <x:v>153.2</x:v>
      </x:c>
      <x:c r="R166" s="12" t="n">
        <x:v>12.2</x:v>
      </x:c>
      <x:c r="S166" s="12" t="n">
        <x:v>0</x:v>
      </x:c>
      <x:c r="T166" s="11" t="str">
        <x:v>High</x:v>
      </x:c>
      <x:c r="U166" s="13" t="n">
        <x:v>8</x:v>
      </x:c>
      <x:c r="V166" s="13" t="n">
        <x:v>22</x:v>
      </x:c>
      <x:c r="W166" s="11"/>
      <x:c r="X166" s="11" t="str">
        <x:v>Veteran model: 2025 form, prior-year trend and same team pass/run forecast; team pass volume #8, rush volume #22</x:v>
      </x:c>
    </x:row>
    <x:row r="167" ht="19" customHeight="1">
      <x:c r="A167" s="11" t="str">
        <x:v>Available</x:v>
      </x:c>
      <x:c r="B167" s="12" t="n">
        <x:v>188.2</x:v>
      </x:c>
      <x:c r="C167" s="12" t="n">
        <x:f>ROUNDUP(B167/12,0)</x:f>
        <x:v>16</x:v>
      </x:c>
      <x:c r="D167" s="13" t="n">
        <x:v>198</x:v>
      </x:c>
      <x:c r="E167" s="12" t="n">
        <x:f>B167-D167</x:f>
        <x:v>-9.800000000000011</x:v>
      </x:c>
      <x:c r="F167" s="13" t="n">
        <x:v>185</x:v>
      </x:c>
      <x:c r="G167" s="12" t="n">
        <x:f>B167-F167</x:f>
        <x:v>3.1999999999999886</x:v>
      </x:c>
      <x:c r="H167" s="11" t="str">
        <x:v>Depth</x:v>
      </x:c>
      <x:c r="I167" s="11" t="str">
        <x:v>Zachariah Branch</x:v>
      </x:c>
      <x:c r="J167" s="11" t="str">
        <x:v>WR</x:v>
      </x:c>
      <x:c r="K167" s="13" t="n">
        <x:v>89</x:v>
      </x:c>
      <x:c r="L167" s="13" t="str">
        <x:v>ATL</x:v>
      </x:c>
      <x:c r="M167" s="13" t="n">
        <x:v>11</x:v>
      </x:c>
      <x:c r="N167" s="12" t="n">
        <x:v>112.8</x:v>
      </x:c>
      <x:c r="O167" s="12" t="n">
        <x:v>79</x:v>
      </x:c>
      <x:c r="P167" s="12" t="n">
        <x:f>N167-O167</x:f>
        <x:v>33.8</x:v>
      </x:c>
      <x:c r="Q167" s="12" t="n">
        <x:v>87.5</x:v>
      </x:c>
      <x:c r="R167" s="12" t="n">
        <x:v>9.4</x:v>
      </x:c>
      <x:c r="S167" s="12" t="n">
        <x:v>-52.1</x:v>
      </x:c>
      <x:c r="T167" s="11" t="str">
        <x:v>Low</x:v>
      </x:c>
      <x:c r="U167" s="13" t="n">
        <x:v>17</x:v>
      </x:c>
      <x:c r="V167" s="13" t="n">
        <x:v>5</x:v>
      </x:c>
      <x:c r="W167" s="11"/>
      <x:c r="X167" s="11" t="str">
        <x:v>Rookie model: pick 79, age and destination-team environment; team pass volume #17, rush volume #5</x:v>
      </x:c>
    </x:row>
    <x:row r="168" ht="19" customHeight="1">
      <x:c r="A168" s="11" t="str">
        <x:v>Available</x:v>
      </x:c>
      <x:c r="B168" s="12" t="n">
        <x:v>188.7</x:v>
      </x:c>
      <x:c r="C168" s="12" t="n">
        <x:f>ROUNDUP(B168/12,0)</x:f>
        <x:v>16</x:v>
      </x:c>
      <x:c r="D168" s="13" t="n">
        <x:v>174</x:v>
      </x:c>
      <x:c r="E168" s="12" t="n">
        <x:f>B168-D168</x:f>
        <x:v>14.699999999999989</x:v>
      </x:c>
      <x:c r="F168" s="13" t="n">
        <x:v>167</x:v>
      </x:c>
      <x:c r="G168" s="12" t="n">
        <x:f>B168-F168</x:f>
        <x:v>21.69999999999999</x:v>
      </x:c>
      <x:c r="H168" s="11" t="str">
        <x:v>Depth</x:v>
      </x:c>
      <x:c r="I168" s="11" t="str">
        <x:v>Dylan Sampson</x:v>
      </x:c>
      <x:c r="J168" s="11" t="str">
        <x:v>RB</x:v>
      </x:c>
      <x:c r="K168" s="13" t="n">
        <x:v>46</x:v>
      </x:c>
      <x:c r="L168" s="13" t="str">
        <x:v>CLE</x:v>
      </x:c>
      <x:c r="M168" s="13" t="n">
        <x:v>11</x:v>
      </x:c>
      <x:c r="N168" s="12" t="n">
        <x:v>135.6</x:v>
      </x:c>
      <x:c r="O168" s="12" t="n">
        <x:v>89</x:v>
      </x:c>
      <x:c r="P168" s="12" t="n">
        <x:f>N168-O168</x:f>
        <x:v>46.599999999999994</x:v>
      </x:c>
      <x:c r="Q168" s="12" t="n">
        <x:v>112.3</x:v>
      </x:c>
      <x:c r="R168" s="12" t="n">
        <x:v>10.9</x:v>
      </x:c>
      <x:c r="S168" s="12" t="n">
        <x:v>-41.9</x:v>
      </x:c>
      <x:c r="T168" s="11" t="str">
        <x:v>Medium</x:v>
      </x:c>
      <x:c r="U168" s="13" t="n">
        <x:v>4</x:v>
      </x:c>
      <x:c r="V168" s="13" t="n">
        <x:v>26</x:v>
      </x:c>
      <x:c r="W168" s="11"/>
      <x:c r="X168" s="11" t="str">
        <x:v>Veteran model: 2025 form, prior-year trend and same team pass/run forecast; team pass volume #4, rush volume #26</x:v>
      </x:c>
    </x:row>
    <x:row r="169" ht="19" customHeight="1">
      <x:c r="A169" s="11" t="str">
        <x:v>Available</x:v>
      </x:c>
      <x:c r="B169" s="12" t="n">
        <x:v>190.1</x:v>
      </x:c>
      <x:c r="C169" s="12" t="n">
        <x:f>ROUNDUP(B169/12,0)</x:f>
        <x:v>16</x:v>
      </x:c>
      <x:c r="D169" s="13" t="n">
        <x:v>143</x:v>
      </x:c>
      <x:c r="E169" s="12" t="n">
        <x:f>B169-D169</x:f>
        <x:v>47.099999999999994</x:v>
      </x:c>
      <x:c r="F169" s="13" t="n">
        <x:v>118</x:v>
      </x:c>
      <x:c r="G169" s="12" t="n">
        <x:f>B169-F169</x:f>
        <x:v>72.1</x:v>
      </x:c>
      <x:c r="H169" s="11" t="str">
        <x:v>Depth</x:v>
      </x:c>
      <x:c r="I169" s="11" t="str">
        <x:v>Jerry Jeudy</x:v>
      </x:c>
      <x:c r="J169" s="11" t="str">
        <x:v>WR</x:v>
      </x:c>
      <x:c r="K169" s="13" t="n">
        <x:v>58</x:v>
      </x:c>
      <x:c r="L169" s="13" t="str">
        <x:v>CLE</x:v>
      </x:c>
      <x:c r="M169" s="13" t="n">
        <x:v>11</x:v>
      </x:c>
      <x:c r="N169" s="12" t="n">
        <x:v>160</x:v>
      </x:c>
      <x:c r="O169" s="12" t="n">
        <x:v>120</x:v>
      </x:c>
      <x:c r="P169" s="12" t="n">
        <x:f>N169-O169</x:f>
        <x:v>40</x:v>
      </x:c>
      <x:c r="Q169" s="12" t="n">
        <x:v>146</x:v>
      </x:c>
      <x:c r="R169" s="12" t="n">
        <x:v>11.3</x:v>
      </x:c>
      <x:c r="S169" s="12" t="n">
        <x:v>-23.8</x:v>
      </x:c>
      <x:c r="T169" s="11" t="str">
        <x:v>High</x:v>
      </x:c>
      <x:c r="U169" s="13" t="n">
        <x:v>4</x:v>
      </x:c>
      <x:c r="V169" s="13" t="n">
        <x:v>26</x:v>
      </x:c>
      <x:c r="W169" s="11"/>
      <x:c r="X169" s="11" t="str">
        <x:v>Veteran model: 2025 form, prior-year trend and same team pass/run forecast; team pass volume #4, rush volume #26</x:v>
      </x:c>
    </x:row>
    <x:row r="170" ht="19" customHeight="1">
      <x:c r="A170" s="11" t="str">
        <x:v>Available</x:v>
      </x:c>
      <x:c r="B170" s="12" t="n">
        <x:v>191.2</x:v>
      </x:c>
      <x:c r="C170" s="12" t="n">
        <x:f>ROUNDUP(B170/12,0)</x:f>
        <x:v>16</x:v>
      </x:c>
      <x:c r="D170" s="13" t="n">
        <x:v>204</x:v>
      </x:c>
      <x:c r="E170" s="12" t="n">
        <x:f>B170-D170</x:f>
        <x:v>-12.800000000000011</x:v>
      </x:c>
      <x:c r="F170" s="13" t="n">
        <x:v>200</x:v>
      </x:c>
      <x:c r="G170" s="12" t="n">
        <x:f>B170-F170</x:f>
        <x:v>-8.800000000000011</x:v>
      </x:c>
      <x:c r="H170" s="11" t="str">
        <x:v>Depth</x:v>
      </x:c>
      <x:c r="I170" s="11" t="str">
        <x:v>Nicholas Singleton</x:v>
      </x:c>
      <x:c r="J170" s="11" t="str">
        <x:v>RB</x:v>
      </x:c>
      <x:c r="K170" s="13" t="n">
        <x:v>61</x:v>
      </x:c>
      <x:c r="L170" s="13" t="str">
        <x:v>TEN</x:v>
      </x:c>
      <x:c r="M170" s="13" t="n">
        <x:v>9</x:v>
      </x:c>
      <x:c r="N170" s="12" t="n">
        <x:v>98.8</x:v>
      </x:c>
      <x:c r="O170" s="12" t="n">
        <x:v>64</x:v>
      </x:c>
      <x:c r="P170" s="12" t="n">
        <x:f>N170-O170</x:f>
        <x:v>34.8</x:v>
      </x:c>
      <x:c r="Q170" s="12" t="n">
        <x:v>72.7</x:v>
      </x:c>
      <x:c r="R170" s="12" t="n">
        <x:v>9</x:v>
      </x:c>
      <x:c r="S170" s="12" t="n">
        <x:v>-55.5</x:v>
      </x:c>
      <x:c r="T170" s="11" t="str">
        <x:v>Low</x:v>
      </x:c>
      <x:c r="U170" s="13" t="n">
        <x:v>18</x:v>
      </x:c>
      <x:c r="V170" s="13" t="n">
        <x:v>30</x:v>
      </x:c>
      <x:c r="W170" s="11"/>
      <x:c r="X170" s="11" t="str">
        <x:v>Rookie model: pick 165, age and destination-team environment; team pass volume #18, rush volume #30</x:v>
      </x:c>
    </x:row>
    <x:row r="171" ht="19" customHeight="1">
      <x:c r="A171" s="11" t="str">
        <x:v>Available</x:v>
      </x:c>
      <x:c r="B171" s="12" t="n">
        <x:v>192.5</x:v>
      </x:c>
      <x:c r="C171" s="12" t="n">
        <x:f>ROUNDUP(B171/12,0)</x:f>
        <x:v>17</x:v>
      </x:c>
      <x:c r="D171" s="13" t="n">
        <x:v>120</x:v>
      </x:c>
      <x:c r="E171" s="12" t="n">
        <x:f>B171-D171</x:f>
        <x:v>72.5</x:v>
      </x:c>
      <x:c r="F171" s="13" t="n">
        <x:v>177</x:v>
      </x:c>
      <x:c r="G171" s="12" t="n">
        <x:f>B171-F171</x:f>
        <x:v>15.5</x:v>
      </x:c>
      <x:c r="H171" s="11" t="str">
        <x:v>Depth</x:v>
      </x:c>
      <x:c r="I171" s="11" t="str">
        <x:v>Malik Willis</x:v>
      </x:c>
      <x:c r="J171" s="11" t="str">
        <x:v>QB</x:v>
      </x:c>
      <x:c r="K171" s="13" t="n">
        <x:v>22</x:v>
      </x:c>
      <x:c r="L171" s="13" t="str">
        <x:v>MIA</x:v>
      </x:c>
      <x:c r="M171" s="13" t="n">
        <x:v>6</x:v>
      </x:c>
      <x:c r="N171" s="12" t="n">
        <x:v>216.9</x:v>
      </x:c>
      <x:c r="O171" s="12" t="n">
        <x:v>270</x:v>
      </x:c>
      <x:c r="P171" s="12" t="n">
        <x:f>N171-O171</x:f>
        <x:v>-53.099999999999994</x:v>
      </x:c>
      <x:c r="Q171" s="12" t="n">
        <x:v>256.7</x:v>
      </x:c>
      <x:c r="R171" s="12" t="n">
        <x:v>9.2</x:v>
      </x:c>
      <x:c r="S171" s="12" t="n">
        <x:v>-16</x:v>
      </x:c>
      <x:c r="T171" s="11" t="str">
        <x:v>Low</x:v>
      </x:c>
      <x:c r="U171" s="13" t="n">
        <x:v>25</x:v>
      </x:c>
      <x:c r="V171" s="13" t="n">
        <x:v>24</x:v>
      </x:c>
      <x:c r="W171" s="11"/>
      <x:c r="X171" s="11" t="str">
        <x:v>Veteran model: 2025 form, prior-year trend and new team pass/run forecast; team pass volume #25, rush volume #24</x:v>
      </x:c>
    </x:row>
    <x:row r="172" ht="19" customHeight="1">
      <x:c r="A172" s="11" t="str">
        <x:v>Available</x:v>
      </x:c>
      <x:c r="B172" s="12" t="n">
        <x:v>193.2</x:v>
      </x:c>
      <x:c r="C172" s="12" t="n">
        <x:f>ROUNDUP(B172/12,0)</x:f>
        <x:v>17</x:v>
      </x:c>
      <x:c r="D172" s="13" t="n">
        <x:v>101</x:v>
      </x:c>
      <x:c r="E172" s="12" t="n">
        <x:f>B172-D172</x:f>
        <x:v>92.19999999999999</x:v>
      </x:c>
      <x:c r="F172" s="13" t="n">
        <x:v>100</x:v>
      </x:c>
      <x:c r="G172" s="12" t="n">
        <x:f>B172-F172</x:f>
        <x:v>93.19999999999999</x:v>
      </x:c>
      <x:c r="H172" s="11" t="str">
        <x:v>Depth</x:v>
      </x:c>
      <x:c r="I172" s="11" t="str">
        <x:v>Dalton Schultz</x:v>
      </x:c>
      <x:c r="J172" s="11" t="str">
        <x:v>TE</x:v>
      </x:c>
      <x:c r="K172" s="13" t="n">
        <x:v>17</x:v>
      </x:c>
      <x:c r="L172" s="13" t="str">
        <x:v>HOU</x:v>
      </x:c>
      <x:c r="M172" s="13" t="n">
        <x:v>8</x:v>
      </x:c>
      <x:c r="N172" s="12" t="n">
        <x:v>148.2</x:v>
      </x:c>
      <x:c r="O172" s="12" t="n">
        <x:v>139</x:v>
      </x:c>
      <x:c r="P172" s="12" t="n">
        <x:f>N172-O172</x:f>
        <x:v>9.199999999999989</x:v>
      </x:c>
      <x:c r="Q172" s="12" t="n">
        <x:v>145</x:v>
      </x:c>
      <x:c r="R172" s="12" t="n">
        <x:v>12.7</x:v>
      </x:c>
      <x:c r="S172" s="12" t="n">
        <x:v>-6.1</x:v>
      </x:c>
      <x:c r="T172" s="11" t="str">
        <x:v>High</x:v>
      </x:c>
      <x:c r="U172" s="13" t="n">
        <x:v>9</x:v>
      </x:c>
      <x:c r="V172" s="13" t="n">
        <x:v>17</x:v>
      </x:c>
      <x:c r="W172" s="11"/>
      <x:c r="X172" s="11" t="str">
        <x:v>Veteran model: 2025 form, prior-year trend and same team pass/run forecast; team pass volume #9, rush volume #17</x:v>
      </x:c>
    </x:row>
    <x:row r="173" ht="19" customHeight="1">
      <x:c r="A173" s="11" t="str">
        <x:v>Available</x:v>
      </x:c>
      <x:c r="B173" s="12" t="n">
        <x:v>194.1</x:v>
      </x:c>
      <x:c r="C173" s="12" t="n">
        <x:f>ROUNDUP(B173/12,0)</x:f>
        <x:v>17</x:v>
      </x:c>
      <x:c r="D173" s="13" t="n">
        <x:v>159</x:v>
      </x:c>
      <x:c r="E173" s="12" t="n">
        <x:f>B173-D173</x:f>
        <x:v>35.099999999999994</x:v>
      </x:c>
      <x:c r="F173" s="13" t="n">
        <x:v>142</x:v>
      </x:c>
      <x:c r="G173" s="12" t="n">
        <x:f>B173-F173</x:f>
        <x:v>52.099999999999994</x:v>
      </x:c>
      <x:c r="H173" s="11" t="str">
        <x:v>Depth</x:v>
      </x:c>
      <x:c r="I173" s="11" t="str">
        <x:v>Jauan Jennings</x:v>
      </x:c>
      <x:c r="J173" s="11" t="str">
        <x:v>WR</x:v>
      </x:c>
      <x:c r="K173" s="13" t="n">
        <x:v>60</x:v>
      </x:c>
      <x:c r="L173" s="13" t="str">
        <x:v>MIN</x:v>
      </x:c>
      <x:c r="M173" s="13" t="n">
        <x:v>6</x:v>
      </x:c>
      <x:c r="N173" s="12" t="n">
        <x:v>152.7</x:v>
      </x:c>
      <x:c r="O173" s="12" t="n">
        <x:v>106</x:v>
      </x:c>
      <x:c r="P173" s="12" t="n">
        <x:f>N173-O173</x:f>
        <x:v>46.69999999999999</x:v>
      </x:c>
      <x:c r="Q173" s="12" t="n">
        <x:v>136.4</x:v>
      </x:c>
      <x:c r="R173" s="12" t="n">
        <x:v>12.6</x:v>
      </x:c>
      <x:c r="S173" s="12" t="n">
        <x:v>-33.6</x:v>
      </x:c>
      <x:c r="T173" s="11" t="str">
        <x:v>High</x:v>
      </x:c>
      <x:c r="U173" s="13" t="n">
        <x:v>26</x:v>
      </x:c>
      <x:c r="V173" s="13" t="n">
        <x:v>27</x:v>
      </x:c>
      <x:c r="W173" s="11"/>
      <x:c r="X173" s="11" t="str">
        <x:v>Veteran model: 2025 form, prior-year trend and new team pass/run forecast; team pass volume #26, rush volume #27</x:v>
      </x:c>
    </x:row>
    <x:row r="174" ht="19" customHeight="1">
      <x:c r="A174" s="11" t="str">
        <x:v>Available</x:v>
      </x:c>
      <x:c r="B174" s="12" t="n">
        <x:v>195.6</x:v>
      </x:c>
      <x:c r="C174" s="12" t="n">
        <x:f>ROUNDUP(B174/12,0)</x:f>
        <x:v>17</x:v>
      </x:c>
      <x:c r="D174" s="13" t="n">
        <x:v>207</x:v>
      </x:c>
      <x:c r="E174" s="12" t="n">
        <x:f>B174-D174</x:f>
        <x:v>-11.400000000000006</x:v>
      </x:c>
      <x:c r="F174" s="13" t="n">
        <x:v>203</x:v>
      </x:c>
      <x:c r="G174" s="12" t="n">
        <x:f>B174-F174</x:f>
        <x:v>-7.400000000000006</x:v>
      </x:c>
      <x:c r="H174" s="11" t="str">
        <x:v>Depth</x:v>
      </x:c>
      <x:c r="I174" s="11" t="str">
        <x:v>Emmett Johnson</x:v>
      </x:c>
      <x:c r="J174" s="11" t="str">
        <x:v>RB</x:v>
      </x:c>
      <x:c r="K174" s="13" t="n">
        <x:v>60</x:v>
      </x:c>
      <x:c r="L174" s="13" t="str">
        <x:v>KC</x:v>
      </x:c>
      <x:c r="M174" s="13" t="n">
        <x:v>5</x:v>
      </x:c>
      <x:c r="N174" s="12" t="n">
        <x:v>97.2</x:v>
      </x:c>
      <x:c r="O174" s="12" t="n">
        <x:v>65</x:v>
      </x:c>
      <x:c r="P174" s="12" t="n">
        <x:f>N174-O174</x:f>
        <x:v>32.2</x:v>
      </x:c>
      <x:c r="Q174" s="12" t="n">
        <x:v>73.1</x:v>
      </x:c>
      <x:c r="R174" s="12" t="n">
        <x:v>9.2</x:v>
      </x:c>
      <x:c r="S174" s="12" t="n">
        <x:v>-56.6</x:v>
      </x:c>
      <x:c r="T174" s="11" t="str">
        <x:v>Low</x:v>
      </x:c>
      <x:c r="U174" s="13" t="n">
        <x:v>5</x:v>
      </x:c>
      <x:c r="V174" s="13" t="n">
        <x:v>25</x:v>
      </x:c>
      <x:c r="W174" s="11"/>
      <x:c r="X174" s="11" t="str">
        <x:v>Rookie model: pick 161, age and destination-team environment; team pass volume #5, rush volume #25</x:v>
      </x:c>
    </x:row>
    <x:row r="175" ht="19" customHeight="1">
      <x:c r="A175" s="11" t="str">
        <x:v>Available</x:v>
      </x:c>
      <x:c r="B175" s="12" t="n">
        <x:v>195.8</x:v>
      </x:c>
      <x:c r="C175" s="12" t="n">
        <x:f>ROUNDUP(B175/12,0)</x:f>
        <x:v>17</x:v>
      </x:c>
      <x:c r="D175" s="13" t="n">
        <x:v>148</x:v>
      </x:c>
      <x:c r="E175" s="12" t="n">
        <x:f>B175-D175</x:f>
        <x:v>47.80000000000001</x:v>
      </x:c>
      <x:c r="F175" s="13" t="n">
        <x:v>152</x:v>
      </x:c>
      <x:c r="G175" s="12" t="n">
        <x:f>B175-F175</x:f>
        <x:v>43.80000000000001</x:v>
      </x:c>
      <x:c r="H175" s="11" t="str">
        <x:v>Depth</x:v>
      </x:c>
      <x:c r="I175" s="11" t="str">
        <x:v>Jalen McMillan</x:v>
      </x:c>
      <x:c r="J175" s="11" t="str">
        <x:v>WR</x:v>
      </x:c>
      <x:c r="K175" s="13" t="n">
        <x:v>64</x:v>
      </x:c>
      <x:c r="L175" s="13" t="str">
        <x:v>TB</x:v>
      </x:c>
      <x:c r="M175" s="13" t="n">
        <x:v>10</x:v>
      </x:c>
      <x:c r="N175" s="12" t="n">
        <x:v>134.5</x:v>
      </x:c>
      <x:c r="O175" s="12" t="n">
        <x:v>127</x:v>
      </x:c>
      <x:c r="P175" s="12" t="n">
        <x:f>N175-O175</x:f>
        <x:v>7.5</x:v>
      </x:c>
      <x:c r="Q175" s="12" t="n">
        <x:v>128.9</x:v>
      </x:c>
      <x:c r="R175" s="12" t="n">
        <x:v>9.1</x:v>
      </x:c>
      <x:c r="S175" s="12" t="n">
        <x:v>-28.3</x:v>
      </x:c>
      <x:c r="T175" s="11" t="str">
        <x:v>Low</x:v>
      </x:c>
      <x:c r="U175" s="13" t="n">
        <x:v>12</x:v>
      </x:c>
      <x:c r="V175" s="13" t="n">
        <x:v>11</x:v>
      </x:c>
      <x:c r="W175" s="11" t="str">
        <x:v>Ques</x:v>
      </x:c>
      <x:c r="X175" s="11" t="str">
        <x:v>Veteran model: 2025 form, prior-year trend and same team pass/run forecast; team pass volume #12, rush volume #11</x:v>
      </x:c>
    </x:row>
    <x:row r="176" ht="19" customHeight="1">
      <x:c r="A176" s="11" t="str">
        <x:v>Available</x:v>
      </x:c>
      <x:c r="B176" s="12" t="n">
        <x:v>198.2</x:v>
      </x:c>
      <x:c r="C176" s="12" t="n">
        <x:f>ROUNDUP(B176/12,0)</x:f>
        <x:v>17</x:v>
      </x:c>
      <x:c r="D176" s="13" t="n">
        <x:v>165</x:v>
      </x:c>
      <x:c r="E176" s="12" t="n">
        <x:f>B176-D176</x:f>
        <x:v>33.19999999999999</x:v>
      </x:c>
      <x:c r="F176" s="13" t="n">
        <x:v>211</x:v>
      </x:c>
      <x:c r="G176" s="12" t="n">
        <x:f>B176-F176</x:f>
        <x:v>-12.800000000000011</x:v>
      </x:c>
      <x:c r="H176" s="11" t="str">
        <x:v>Depth</x:v>
      </x:c>
      <x:c r="I176" s="11" t="str">
        <x:v>Cyrus Allen</x:v>
      </x:c>
      <x:c r="J176" s="11" t="str">
        <x:v>WR</x:v>
      </x:c>
      <x:c r="K176" s="13" t="n">
        <x:v>90</x:v>
      </x:c>
      <x:c r="L176" s="13" t="str">
        <x:v>KC</x:v>
      </x:c>
      <x:c r="M176" s="13" t="n">
        <x:v>5</x:v>
      </x:c>
      <x:c r="N176" s="12" t="n">
        <x:v>60.6</x:v>
      </x:c>
      <x:c r="O176" s="12" t="n">
        <x:v>95</x:v>
      </x:c>
      <x:c r="P176" s="12" t="n">
        <x:f>N176-O176</x:f>
        <x:v>-34.4</x:v>
      </x:c>
      <x:c r="Q176" s="12" t="n">
        <x:v>86.4</x:v>
      </x:c>
      <x:c r="R176" s="12" t="n">
        <x:v>6.7</x:v>
      </x:c>
      <x:c r="S176" s="12" t="n">
        <x:v>-37.6</x:v>
      </x:c>
      <x:c r="T176" s="11" t="str">
        <x:v>Low</x:v>
      </x:c>
      <x:c r="U176" s="13" t="n">
        <x:v>5</x:v>
      </x:c>
      <x:c r="V176" s="13" t="n">
        <x:v>25</x:v>
      </x:c>
      <x:c r="W176" s="11"/>
      <x:c r="X176" s="11" t="str">
        <x:v>Rookie model: pick 176, age and destination-team environment; team pass volume #5, rush volume #25</x:v>
      </x:c>
    </x:row>
    <x:row r="177" ht="19" customHeight="1">
      <x:c r="A177" s="11" t="str">
        <x:v>Available</x:v>
      </x:c>
      <x:c r="B177" s="12" t="n">
        <x:v>199.4</x:v>
      </x:c>
      <x:c r="C177" s="12" t="n">
        <x:f>ROUNDUP(B177/12,0)</x:f>
        <x:v>17</x:v>
      </x:c>
      <x:c r="D177" s="13" t="n">
        <x:v>189</x:v>
      </x:c>
      <x:c r="E177" s="12" t="n">
        <x:f>B177-D177</x:f>
        <x:v>10.400000000000006</x:v>
      </x:c>
      <x:c r="F177" s="13" t="n">
        <x:v>221</x:v>
      </x:c>
      <x:c r="G177" s="12" t="n">
        <x:f>B177-F177</x:f>
        <x:v>-21.599999999999994</x:v>
      </x:c>
      <x:c r="H177" s="11" t="str">
        <x:v>Depth</x:v>
      </x:c>
      <x:c r="I177" s="11" t="str">
        <x:v>Malik Washington</x:v>
      </x:c>
      <x:c r="J177" s="11" t="str">
        <x:v>WR</x:v>
      </x:c>
      <x:c r="K177" s="13" t="n">
        <x:v>70</x:v>
      </x:c>
      <x:c r="L177" s="13" t="str">
        <x:v>MIA</x:v>
      </x:c>
      <x:c r="M177" s="13" t="n">
        <x:v>6</x:v>
      </x:c>
      <x:c r="N177" s="12" t="n">
        <x:v>108.4</x:v>
      </x:c>
      <x:c r="O177" s="12" t="n">
        <x:v>131</x:v>
      </x:c>
      <x:c r="P177" s="12" t="n">
        <x:f>N177-O177</x:f>
        <x:v>-22.599999999999994</x:v>
      </x:c>
      <x:c r="Q177" s="12" t="n">
        <x:v>116.3</x:v>
      </x:c>
      <x:c r="R177" s="12" t="n">
        <x:v>12.3</x:v>
      </x:c>
      <x:c r="S177" s="12" t="n">
        <x:v>-47.4</x:v>
      </x:c>
      <x:c r="T177" s="11" t="str">
        <x:v>High</x:v>
      </x:c>
      <x:c r="U177" s="13" t="n">
        <x:v>25</x:v>
      </x:c>
      <x:c r="V177" s="13" t="n">
        <x:v>24</x:v>
      </x:c>
      <x:c r="W177" s="11"/>
      <x:c r="X177" s="11" t="str">
        <x:v>Veteran model: 2025 form, prior-year trend and same team pass/run forecast; team pass volume #25, rush volume #24</x:v>
      </x:c>
    </x:row>
    <x:row r="178" ht="19" customHeight="1">
      <x:c r="A178" s="11" t="str">
        <x:v>Available</x:v>
      </x:c>
      <x:c r="B178" s="12" t="n">
        <x:v>200.3</x:v>
      </x:c>
      <x:c r="C178" s="12" t="n">
        <x:f>ROUNDUP(B178/12,0)</x:f>
        <x:v>17</x:v>
      </x:c>
      <x:c r="D178" s="13" t="n">
        <x:v>186</x:v>
      </x:c>
      <x:c r="E178" s="12" t="n">
        <x:f>B178-D178</x:f>
        <x:v>14.300000000000011</x:v>
      </x:c>
      <x:c r="F178" s="13" t="n">
        <x:v>194</x:v>
      </x:c>
      <x:c r="G178" s="12" t="n">
        <x:f>B178-F178</x:f>
        <x:v>6.300000000000011</x:v>
      </x:c>
      <x:c r="H178" s="11" t="str">
        <x:v>Depth</x:v>
      </x:c>
      <x:c r="I178" s="11" t="str">
        <x:v>MarShawn Lloyd</x:v>
      </x:c>
      <x:c r="J178" s="11" t="str">
        <x:v>RB</x:v>
      </x:c>
      <x:c r="K178" s="13" t="n">
        <x:v>66</x:v>
      </x:c>
      <x:c r="L178" s="13" t="str">
        <x:v>GB</x:v>
      </x:c>
      <x:c r="M178" s="13" t="n">
        <x:v>11</x:v>
      </x:c>
      <x:c r="N178" s="12" t="n">
        <x:v>80.3</x:v>
      </x:c>
      <x:c r="O178" s="12" t="n">
        <x:v>52</x:v>
      </x:c>
      <x:c r="P178" s="12" t="n">
        <x:f>N178-O178</x:f>
        <x:v>28.299999999999997</x:v>
      </x:c>
      <x:c r="Q178" s="12" t="n">
        <x:v>59.1</x:v>
      </x:c>
      <x:c r="R178" s="12" t="n">
        <x:v>6.7</x:v>
      </x:c>
      <x:c r="S178" s="12" t="n">
        <x:v>-46.7</x:v>
      </x:c>
      <x:c r="T178" s="11" t="str">
        <x:v>Low</x:v>
      </x:c>
      <x:c r="U178" s="13" t="n">
        <x:v>30</x:v>
      </x:c>
      <x:c r="V178" s="13" t="n">
        <x:v>4</x:v>
      </x:c>
      <x:c r="W178" s="11"/>
      <x:c r="X178" s="11" t="str">
        <x:v>Veteran model: 2024 form, prior-year trend and same team pass/run forecast; team pass volume #30, rush volume #4</x:v>
      </x:c>
    </x:row>
    <x:row r="179" ht="19" customHeight="1">
      <x:c r="A179" s="11" t="str">
        <x:v>Available</x:v>
      </x:c>
      <x:c r="B179" s="12" t="n">
        <x:v>202.1</x:v>
      </x:c>
      <x:c r="C179" s="12" t="n">
        <x:f>ROUNDUP(B179/12,0)</x:f>
        <x:v>17</x:v>
      </x:c>
      <x:c r="D179" s="13" t="n">
        <x:v>182</x:v>
      </x:c>
      <x:c r="E179" s="12" t="n">
        <x:f>B179-D179</x:f>
        <x:v>20.099999999999994</x:v>
      </x:c>
      <x:c r="F179" s="13" t="n">
        <x:v>120</x:v>
      </x:c>
      <x:c r="G179" s="12" t="n">
        <x:f>B179-F179</x:f>
        <x:v>82.1</x:v>
      </x:c>
      <x:c r="H179" s="11" t="str">
        <x:v>Depth</x:v>
      </x:c>
      <x:c r="I179" s="11" t="str">
        <x:v>Mike Washington</x:v>
      </x:c>
      <x:c r="J179" s="11" t="str">
        <x:v>RB</x:v>
      </x:c>
      <x:c r="K179" s="13" t="n">
        <x:v>53</x:v>
      </x:c>
      <x:c r="L179" s="13" t="str">
        <x:v>LV</x:v>
      </x:c>
      <x:c r="M179" s="13" t="n">
        <x:v>13</x:v>
      </x:c>
      <x:c r="N179" s="12" t="n">
        <x:v>153.3</x:v>
      </x:c>
      <x:c r="O179" s="12" t="n">
        <x:v>62</x:v>
      </x:c>
      <x:c r="P179" s="12" t="n">
        <x:f>N179-O179</x:f>
        <x:v>91.30000000000001</x:v>
      </x:c>
      <x:c r="Q179" s="12" t="n">
        <x:v>84.8</x:v>
      </x:c>
      <x:c r="R179" s="12" t="n">
        <x:v>8.4</x:v>
      </x:c>
      <x:c r="S179" s="12" t="n">
        <x:v>-45.9</x:v>
      </x:c>
      <x:c r="T179" s="11" t="str">
        <x:v>Low</x:v>
      </x:c>
      <x:c r="U179" s="13" t="n">
        <x:v>15</x:v>
      </x:c>
      <x:c r="V179" s="13" t="n">
        <x:v>32</x:v>
      </x:c>
      <x:c r="W179" s="11"/>
      <x:c r="X179" s="11" t="str">
        <x:v>Rookie model: pick 122, age and destination-team environment; team pass volume #15, rush volume #32</x:v>
      </x:c>
    </x:row>
    <x:row r="180" ht="19" customHeight="1">
      <x:c r="A180" s="11" t="str">
        <x:v>Available</x:v>
      </x:c>
      <x:c r="B180" s="12" t="n">
        <x:v>204.9</x:v>
      </x:c>
      <x:c r="C180" s="12" t="n">
        <x:f>ROUNDUP(B180/12,0)</x:f>
        <x:v>18</x:v>
      </x:c>
      <x:c r="D180" s="13" t="n">
        <x:v>135</x:v>
      </x:c>
      <x:c r="E180" s="12" t="n">
        <x:f>B180-D180</x:f>
        <x:v>69.9</x:v>
      </x:c>
      <x:c r="F180" s="13" t="n">
        <x:v>115</x:v>
      </x:c>
      <x:c r="G180" s="12" t="n">
        <x:f>B180-F180</x:f>
        <x:v>89.9</x:v>
      </x:c>
      <x:c r="H180" s="11" t="str">
        <x:v>Depth</x:v>
      </x:c>
      <x:c r="I180" s="11" t="str">
        <x:v>C.J. Stroud</x:v>
      </x:c>
      <x:c r="J180" s="11" t="str">
        <x:v>QB</x:v>
      </x:c>
      <x:c r="K180" s="13" t="n">
        <x:v>21</x:v>
      </x:c>
      <x:c r="L180" s="13" t="str">
        <x:v>HOU</x:v>
      </x:c>
      <x:c r="M180" s="13" t="n">
        <x:v>8</x:v>
      </x:c>
      <x:c r="N180" s="12" t="n">
        <x:v>265.6</x:v>
      </x:c>
      <x:c r="O180" s="12" t="n">
        <x:v>248</x:v>
      </x:c>
      <x:c r="P180" s="12" t="n">
        <x:f>N180-O180</x:f>
        <x:v>17.600000000000023</x:v>
      </x:c>
      <x:c r="Q180" s="12" t="n">
        <x:v>259.4</x:v>
      </x:c>
      <x:c r="R180" s="12" t="n">
        <x:v>12.8</x:v>
      </x:c>
      <x:c r="S180" s="12" t="n">
        <x:v>-20.2</x:v>
      </x:c>
      <x:c r="T180" s="11" t="str">
        <x:v>High</x:v>
      </x:c>
      <x:c r="U180" s="13" t="n">
        <x:v>9</x:v>
      </x:c>
      <x:c r="V180" s="13" t="n">
        <x:v>17</x:v>
      </x:c>
      <x:c r="W180" s="11"/>
      <x:c r="X180" s="11" t="str">
        <x:v>Veteran model: 2025 form, prior-year trend and same team pass/run forecast; team pass volume #9, rush volume #17</x:v>
      </x:c>
    </x:row>
    <x:row r="181" ht="19" customHeight="1">
      <x:c r="A181" s="11" t="str">
        <x:v>Available</x:v>
      </x:c>
      <x:c r="B181" s="12" t="n">
        <x:v>205.3</x:v>
      </x:c>
      <x:c r="C181" s="12" t="n">
        <x:f>ROUNDUP(B181/12,0)</x:f>
        <x:v>18</x:v>
      </x:c>
      <x:c r="D181" s="13" t="n">
        <x:v>131</x:v>
      </x:c>
      <x:c r="E181" s="12" t="n">
        <x:f>B181-D181</x:f>
        <x:v>74.30000000000001</x:v>
      </x:c>
      <x:c r="F181" s="13" t="n">
        <x:v>94</x:v>
      </x:c>
      <x:c r="G181" s="12" t="n">
        <x:f>B181-F181</x:f>
        <x:v>111.30000000000001</x:v>
      </x:c>
      <x:c r="H181" s="11" t="str">
        <x:v>Depth</x:v>
      </x:c>
      <x:c r="I181" s="11" t="str">
        <x:v>Tre Tucker</x:v>
      </x:c>
      <x:c r="J181" s="11" t="str">
        <x:v>WR</x:v>
      </x:c>
      <x:c r="K181" s="13" t="n">
        <x:v>51</x:v>
      </x:c>
      <x:c r="L181" s="13" t="str">
        <x:v>LV</x:v>
      </x:c>
      <x:c r="M181" s="13" t="n">
        <x:v>13</x:v>
      </x:c>
      <x:c r="N181" s="12" t="n">
        <x:v>173.3</x:v>
      </x:c>
      <x:c r="O181" s="12" t="n">
        <x:v>126</x:v>
      </x:c>
      <x:c r="P181" s="12" t="n">
        <x:f>N181-O181</x:f>
        <x:v>47.30000000000001</x:v>
      </x:c>
      <x:c r="Q181" s="12" t="n">
        <x:v>156.7</x:v>
      </x:c>
      <x:c r="R181" s="12" t="n">
        <x:v>13.1</x:v>
      </x:c>
      <x:c r="S181" s="12" t="n">
        <x:v>-19.3</x:v>
      </x:c>
      <x:c r="T181" s="11" t="str">
        <x:v>High</x:v>
      </x:c>
      <x:c r="U181" s="13" t="n">
        <x:v>15</x:v>
      </x:c>
      <x:c r="V181" s="13" t="n">
        <x:v>32</x:v>
      </x:c>
      <x:c r="W181" s="11"/>
      <x:c r="X181" s="11" t="str">
        <x:v>Veteran model: 2025 form, prior-year trend and same team pass/run forecast; team pass volume #15, rush volume #32</x:v>
      </x:c>
    </x:row>
    <x:row r="182" ht="19" customHeight="1">
      <x:c r="A182" s="11" t="str">
        <x:v>Available</x:v>
      </x:c>
      <x:c r="B182" s="12" t="n">
        <x:v>206.2</x:v>
      </x:c>
      <x:c r="C182" s="12" t="n">
        <x:f>ROUNDUP(B182/12,0)</x:f>
        <x:v>18</x:v>
      </x:c>
      <x:c r="D182" s="13" t="n">
        <x:v>141</x:v>
      </x:c>
      <x:c r="E182" s="12" t="n">
        <x:f>B182-D182</x:f>
        <x:v>65.19999999999999</x:v>
      </x:c>
      <x:c r="F182" s="13" t="n">
        <x:v>106</x:v>
      </x:c>
      <x:c r="G182" s="12" t="n">
        <x:f>B182-F182</x:f>
        <x:v>100.19999999999999</x:v>
      </x:c>
      <x:c r="H182" s="11" t="str">
        <x:v>Depth</x:v>
      </x:c>
      <x:c r="I182" s="11" t="str">
        <x:v>Daniel Jones</x:v>
      </x:c>
      <x:c r="J182" s="11" t="str">
        <x:v>QB</x:v>
      </x:c>
      <x:c r="K182" s="13" t="n">
        <x:v>23</x:v>
      </x:c>
      <x:c r="L182" s="13" t="str">
        <x:v>IND</x:v>
      </x:c>
      <x:c r="M182" s="13" t="n">
        <x:v>13</x:v>
      </x:c>
      <x:c r="N182" s="12" t="n">
        <x:v>268.2</x:v>
      </x:c>
      <x:c r="O182" s="12" t="n">
        <x:v>224</x:v>
      </x:c>
      <x:c r="P182" s="12" t="n">
        <x:f>N182-O182</x:f>
        <x:v>44.19999999999999</x:v>
      </x:c>
      <x:c r="Q182" s="12" t="n">
        <x:v>252.7</x:v>
      </x:c>
      <x:c r="R182" s="12" t="n">
        <x:v>11.8</x:v>
      </x:c>
      <x:c r="S182" s="12" t="n">
        <x:v>-23.3</x:v>
      </x:c>
      <x:c r="T182" s="11" t="str">
        <x:v>High</x:v>
      </x:c>
      <x:c r="U182" s="13" t="n">
        <x:v>21</x:v>
      </x:c>
      <x:c r="V182" s="13" t="n">
        <x:v>13</x:v>
      </x:c>
      <x:c r="W182" s="11"/>
      <x:c r="X182" s="11" t="str">
        <x:v>Veteran model: 2025 form, prior-year trend and same team pass/run forecast; team pass volume #21, rush volume #13</x:v>
      </x:c>
    </x:row>
    <x:row r="183" ht="19" customHeight="1">
      <x:c r="A183" s="11" t="str">
        <x:v>Available</x:v>
      </x:c>
      <x:c r="B183" s="12" t="n">
        <x:v>207.5</x:v>
      </x:c>
      <x:c r="C183" s="12" t="n">
        <x:f>ROUNDUP(B183/12,0)</x:f>
        <x:v>18</x:v>
      </x:c>
      <x:c r="D183" s="13" t="n">
        <x:v>177</x:v>
      </x:c>
      <x:c r="E183" s="12" t="n">
        <x:f>B183-D183</x:f>
        <x:v>30.5</x:v>
      </x:c>
      <x:c r="F183" s="13" t="n">
        <x:v>165</x:v>
      </x:c>
      <x:c r="G183" s="12" t="n">
        <x:f>B183-F183</x:f>
        <x:v>42.5</x:v>
      </x:c>
      <x:c r="H183" s="11" t="str">
        <x:v>Depth</x:v>
      </x:c>
      <x:c r="I183" s="11" t="str">
        <x:v>David Njoku</x:v>
      </x:c>
      <x:c r="J183" s="11" t="str">
        <x:v>TE</x:v>
      </x:c>
      <x:c r="K183" s="13" t="n">
        <x:v>33</x:v>
      </x:c>
      <x:c r="L183" s="13" t="str">
        <x:v>LAC</x:v>
      </x:c>
      <x:c r="M183" s="13" t="n">
        <x:v>7</x:v>
      </x:c>
      <x:c r="N183" s="12" t="n">
        <x:v>115.2</x:v>
      </x:c>
      <x:c r="O183" s="12" t="n">
        <x:v>58</x:v>
      </x:c>
      <x:c r="P183" s="12" t="n">
        <x:f>N183-O183</x:f>
        <x:v>57.2</x:v>
      </x:c>
      <x:c r="Q183" s="12" t="n">
        <x:v>86.6</x:v>
      </x:c>
      <x:c r="R183" s="12" t="n">
        <x:v>11.3</x:v>
      </x:c>
      <x:c r="S183" s="12" t="n">
        <x:v>-44.3</x:v>
      </x:c>
      <x:c r="T183" s="11" t="str">
        <x:v>Medium</x:v>
      </x:c>
      <x:c r="U183" s="13" t="n">
        <x:v>14</x:v>
      </x:c>
      <x:c r="V183" s="13" t="n">
        <x:v>16</x:v>
      </x:c>
      <x:c r="W183" s="11"/>
      <x:c r="X183" s="11" t="str">
        <x:v>Veteran model: 2025 form, prior-year trend and new team pass/run forecast; team pass volume #14, rush volume #16</x:v>
      </x:c>
    </x:row>
    <x:row r="184" ht="19" customHeight="1">
      <x:c r="A184" s="11" t="str">
        <x:v>Available</x:v>
      </x:c>
      <x:c r="B184" s="12" t="n">
        <x:v>208.2</x:v>
      </x:c>
      <x:c r="C184" s="12" t="n">
        <x:f>ROUNDUP(B184/12,0)</x:f>
        <x:v>18</x:v>
      </x:c>
      <x:c r="D184" s="13" t="n">
        <x:v>172</x:v>
      </x:c>
      <x:c r="E184" s="12" t="n">
        <x:f>B184-D184</x:f>
        <x:v>36.19999999999999</x:v>
      </x:c>
      <x:c r="F184" s="13" t="n">
        <x:v>188</x:v>
      </x:c>
      <x:c r="G184" s="12" t="n">
        <x:f>B184-F184</x:f>
        <x:v>20.19999999999999</x:v>
      </x:c>
      <x:c r="H184" s="11" t="str">
        <x:v>Depth</x:v>
      </x:c>
      <x:c r="I184" s="11" t="str">
        <x:v>Cam Ward</x:v>
      </x:c>
      <x:c r="J184" s="11" t="str">
        <x:v>QB</x:v>
      </x:c>
      <x:c r="K184" s="13" t="n">
        <x:v>26</x:v>
      </x:c>
      <x:c r="L184" s="13" t="str">
        <x:v>TEN</x:v>
      </x:c>
      <x:c r="M184" s="13" t="n">
        <x:v>9</x:v>
      </x:c>
      <x:c r="N184" s="12" t="n">
        <x:v>225.4</x:v>
      </x:c>
      <x:c r="O184" s="12" t="n">
        <x:v>228</x:v>
      </x:c>
      <x:c r="P184" s="12" t="n">
        <x:f>N184-O184</x:f>
        <x:v>-2.5999999999999943</x:v>
      </x:c>
      <x:c r="Q184" s="12" t="n">
        <x:v>226.7</x:v>
      </x:c>
      <x:c r="R184" s="12" t="n">
        <x:v>11.6</x:v>
      </x:c>
      <x:c r="S184" s="12" t="n">
        <x:v>-40.6</x:v>
      </x:c>
      <x:c r="T184" s="11" t="str">
        <x:v>Medium</x:v>
      </x:c>
      <x:c r="U184" s="13" t="n">
        <x:v>18</x:v>
      </x:c>
      <x:c r="V184" s="13" t="n">
        <x:v>30</x:v>
      </x:c>
      <x:c r="W184" s="11"/>
      <x:c r="X184" s="11" t="str">
        <x:v>Veteran model: 2025 form, prior-year trend and same team pass/run forecast; team pass volume #18, rush volume #30</x:v>
      </x:c>
    </x:row>
    <x:row r="185" ht="19" customHeight="1">
      <x:c r="A185" s="11" t="str">
        <x:v>Available</x:v>
      </x:c>
      <x:c r="B185" s="12" t="n">
        <x:v>209.4</x:v>
      </x:c>
      <x:c r="C185" s="12" t="n">
        <x:f>ROUNDUP(B185/12,0)</x:f>
        <x:v>18</x:v>
      </x:c>
      <x:c r="D185" s="13" t="n">
        <x:v>164</x:v>
      </x:c>
      <x:c r="E185" s="12" t="n">
        <x:f>B185-D185</x:f>
        <x:v>45.400000000000006</x:v>
      </x:c>
      <x:c r="F185" s="13" t="n">
        <x:v>198</x:v>
      </x:c>
      <x:c r="G185" s="12" t="n">
        <x:f>B185-F185</x:f>
        <x:v>11.400000000000006</x:v>
      </x:c>
      <x:c r="H185" s="11" t="str">
        <x:v>Depth</x:v>
      </x:c>
      <x:c r="I185" s="11" t="str">
        <x:v>Terrance Ferguson</x:v>
      </x:c>
      <x:c r="J185" s="11" t="str">
        <x:v>TE</x:v>
      </x:c>
      <x:c r="K185" s="13" t="n">
        <x:v>31</x:v>
      </x:c>
      <x:c r="L185" s="13" t="str">
        <x:v>LAR</x:v>
      </x:c>
      <x:c r="M185" s="13" t="n">
        <x:v>11</x:v>
      </x:c>
      <x:c r="N185" s="12" t="n">
        <x:v>95.3</x:v>
      </x:c>
      <x:c r="O185" s="12" t="n">
        <x:v>100</x:v>
      </x:c>
      <x:c r="P185" s="12" t="n">
        <x:f>N185-O185</x:f>
        <x:v>-4.700000000000003</x:v>
      </x:c>
      <x:c r="Q185" s="12" t="n">
        <x:v>97.7</x:v>
      </x:c>
      <x:c r="R185" s="12" t="n">
        <x:v>11.5</x:v>
      </x:c>
      <x:c r="S185" s="12" t="n">
        <x:v>-37.5</x:v>
      </x:c>
      <x:c r="T185" s="11" t="str">
        <x:v>Medium</x:v>
      </x:c>
      <x:c r="U185" s="13" t="n">
        <x:v>7</x:v>
      </x:c>
      <x:c r="V185" s="13" t="n">
        <x:v>14</x:v>
      </x:c>
      <x:c r="W185" s="11"/>
      <x:c r="X185" s="11" t="str">
        <x:v>Veteran model: 2025 form, prior-year trend and same team pass/run forecast; team pass volume #7, rush volume #14</x:v>
      </x:c>
    </x:row>
    <x:row r="186" ht="19" customHeight="1">
      <x:c r="A186" s="11" t="str">
        <x:v>Available</x:v>
      </x:c>
      <x:c r="B186" s="12" t="n">
        <x:v>209.8</x:v>
      </x:c>
      <x:c r="C186" s="12" t="n">
        <x:f>ROUNDUP(B186/12,0)</x:f>
        <x:v>18</x:v>
      </x:c>
      <x:c r="D186" s="13" t="n">
        <x:v>190</x:v>
      </x:c>
      <x:c r="E186" s="12" t="n">
        <x:f>B186-D186</x:f>
        <x:v>19.80000000000001</x:v>
      </x:c>
      <x:c r="F186" s="13" t="n">
        <x:v>208</x:v>
      </x:c>
      <x:c r="G186" s="12" t="n">
        <x:f>B186-F186</x:f>
        <x:v>1.8000000000000114</x:v>
      </x:c>
      <x:c r="H186" s="11" t="str">
        <x:v>Depth</x:v>
      </x:c>
      <x:c r="I186" s="11" t="str">
        <x:v>Tre' Harris</x:v>
      </x:c>
      <x:c r="J186" s="11" t="str">
        <x:v>WR</x:v>
      </x:c>
      <x:c r="K186" s="13" t="n">
        <x:v>74</x:v>
      </x:c>
      <x:c r="L186" s="13" t="str">
        <x:v>LAC</x:v>
      </x:c>
      <x:c r="M186" s="13" t="n">
        <x:v>7</x:v>
      </x:c>
      <x:c r="N186" s="12" t="n">
        <x:v>113.1</x:v>
      </x:c>
      <x:c r="O186" s="12" t="n">
        <x:v>113</x:v>
      </x:c>
      <x:c r="P186" s="12" t="n">
        <x:f>N186-O186</x:f>
        <x:v>0.09999999999999432</x:v>
      </x:c>
      <x:c r="Q186" s="12" t="n">
        <x:v>113</x:v>
      </x:c>
      <x:c r="R186" s="12" t="n">
        <x:v>11.7</x:v>
      </x:c>
      <x:c r="S186" s="12" t="n">
        <x:v>-47.4</x:v>
      </x:c>
      <x:c r="T186" s="11" t="str">
        <x:v>Medium</x:v>
      </x:c>
      <x:c r="U186" s="13" t="n">
        <x:v>14</x:v>
      </x:c>
      <x:c r="V186" s="13" t="n">
        <x:v>16</x:v>
      </x:c>
      <x:c r="W186" s="11"/>
      <x:c r="X186" s="11" t="str">
        <x:v>Veteran model: 2025 form, prior-year trend and same team pass/run forecast; team pass volume #14, rush volume #16</x:v>
      </x:c>
    </x:row>
    <x:row r="187" ht="19" customHeight="1">
      <x:c r="A187" s="11" t="str">
        <x:v>Available</x:v>
      </x:c>
      <x:c r="B187" s="12" t="n">
        <x:v>211</x:v>
      </x:c>
      <x:c r="C187" s="12" t="n">
        <x:f>ROUNDUP(B187/12,0)</x:f>
        <x:v>18</x:v>
      </x:c>
      <x:c r="D187" s="13" t="n">
        <x:v>203</x:v>
      </x:c>
      <x:c r="E187" s="12" t="n">
        <x:f>B187-D187</x:f>
        <x:v>8</x:v>
      </x:c>
      <x:c r="F187" s="13" t="n">
        <x:v>201</x:v>
      </x:c>
      <x:c r="G187" s="12" t="n">
        <x:f>B187-F187</x:f>
        <x:v>10</x:v>
      </x:c>
      <x:c r="H187" s="11" t="str">
        <x:v>Depth</x:v>
      </x:c>
      <x:c r="I187" s="11" t="str">
        <x:v>Braelon Allen</x:v>
      </x:c>
      <x:c r="J187" s="11" t="str">
        <x:v>RB</x:v>
      </x:c>
      <x:c r="K187" s="13" t="n">
        <x:v>65</x:v>
      </x:c>
      <x:c r="L187" s="13" t="str">
        <x:v>NYJ</x:v>
      </x:c>
      <x:c r="M187" s="13" t="n">
        <x:v>13</x:v>
      </x:c>
      <x:c r="N187" s="12" t="n">
        <x:v>85.4</x:v>
      </x:c>
      <x:c r="O187" s="12" t="n">
        <x:v>52</x:v>
      </x:c>
      <x:c r="P187" s="12" t="n">
        <x:f>N187-O187</x:f>
        <x:v>33.400000000000006</x:v>
      </x:c>
      <x:c r="Q187" s="12" t="n">
        <x:v>60.3</x:v>
      </x:c>
      <x:c r="R187" s="12" t="n">
        <x:v>7.9</x:v>
      </x:c>
      <x:c r="S187" s="12" t="n">
        <x:v>-54.5</x:v>
      </x:c>
      <x:c r="T187" s="11" t="str">
        <x:v>Low</x:v>
      </x:c>
      <x:c r="U187" s="13" t="n">
        <x:v>20</x:v>
      </x:c>
      <x:c r="V187" s="13" t="n">
        <x:v>28</x:v>
      </x:c>
      <x:c r="W187" s="11"/>
      <x:c r="X187" s="11" t="str">
        <x:v>Veteran model: 2025 form, prior-year trend and same team pass/run forecast; team pass volume #20, rush volume #28</x:v>
      </x:c>
    </x:row>
    <x:row r="188" ht="19" customHeight="1">
      <x:c r="A188" s="11" t="str">
        <x:v>Available</x:v>
      </x:c>
      <x:c r="B188" s="12" t="n">
        <x:v>211.9</x:v>
      </x:c>
      <x:c r="C188" s="12" t="n">
        <x:f>ROUNDUP(B188/12,0)</x:f>
        <x:v>18</x:v>
      </x:c>
      <x:c r="D188" s="13" t="n">
        <x:v>208</x:v>
      </x:c>
      <x:c r="E188" s="12" t="n">
        <x:f>B188-D188</x:f>
        <x:v>3.9000000000000057</x:v>
      </x:c>
      <x:c r="F188" s="13" t="n">
        <x:v>173</x:v>
      </x:c>
      <x:c r="G188" s="12" t="n">
        <x:f>B188-F188</x:f>
        <x:v>38.900000000000006</x:v>
      </x:c>
      <x:c r="H188" s="11" t="str">
        <x:v>Depth</x:v>
      </x:c>
      <x:c r="I188" s="11" t="str">
        <x:v>Devin Neal</x:v>
      </x:c>
      <x:c r="J188" s="11" t="str">
        <x:v>RB</x:v>
      </x:c>
      <x:c r="K188" s="13" t="n">
        <x:v>59</x:v>
      </x:c>
      <x:c r="L188" s="13" t="str">
        <x:v>NO</x:v>
      </x:c>
      <x:c r="M188" s="13" t="n">
        <x:v>8</x:v>
      </x:c>
      <x:c r="N188" s="12" t="n">
        <x:v>122.3</x:v>
      </x:c>
      <x:c r="O188" s="12" t="n">
        <x:v>32</x:v>
      </x:c>
      <x:c r="P188" s="12" t="n">
        <x:f>N188-O188</x:f>
        <x:v>90.3</x:v>
      </x:c>
      <x:c r="Q188" s="12" t="n">
        <x:v>77.2</x:v>
      </x:c>
      <x:c r="R188" s="12" t="n">
        <x:v>9.7</x:v>
      </x:c>
      <x:c r="S188" s="12" t="n">
        <x:v>-57.3</x:v>
      </x:c>
      <x:c r="T188" s="11" t="str">
        <x:v>Medium</x:v>
      </x:c>
      <x:c r="U188" s="13" t="n">
        <x:v>8</x:v>
      </x:c>
      <x:c r="V188" s="13" t="n">
        <x:v>22</x:v>
      </x:c>
      <x:c r="W188" s="11"/>
      <x:c r="X188" s="11" t="str">
        <x:v>Veteran model: 2025 form, prior-year trend and same team pass/run forecast; team pass volume #8, rush volume #22</x:v>
      </x:c>
    </x:row>
    <x:row r="189" ht="19" customHeight="1">
      <x:c r="A189" s="11" t="str">
        <x:v>Available</x:v>
      </x:c>
      <x:c r="B189" s="12" t="n">
        <x:v>212.3</x:v>
      </x:c>
      <x:c r="C189" s="12" t="n">
        <x:f>ROUNDUP(B189/12,0)</x:f>
        <x:v>18</x:v>
      </x:c>
      <x:c r="D189" s="13" t="n">
        <x:v>225</x:v>
      </x:c>
      <x:c r="E189" s="12" t="n">
        <x:f>B189-D189</x:f>
        <x:v>-12.699999999999989</x:v>
      </x:c>
      <x:c r="F189" s="13" t="n">
        <x:v>199</x:v>
      </x:c>
      <x:c r="G189" s="12" t="n">
        <x:f>B189-F189</x:f>
        <x:v>13.300000000000011</x:v>
      </x:c>
      <x:c r="H189" s="11" t="str">
        <x:v>Depth</x:v>
      </x:c>
      <x:c r="I189" s="11" t="str">
        <x:v>Najee Harris</x:v>
      </x:c>
      <x:c r="J189" s="11" t="str">
        <x:v>RB</x:v>
      </x:c>
      <x:c r="K189" s="13" t="n">
        <x:v>70</x:v>
      </x:c>
      <x:c r="L189" s="13" t="str">
        <x:v>NYG</x:v>
      </x:c>
      <x:c r="M189" s="13" t="n">
        <x:v>8</x:v>
      </x:c>
      <x:c r="N189" s="12" t="n">
        <x:v>95.3</x:v>
      </x:c>
      <x:c r="O189" s="12" t="n">
        <x:v>26</x:v>
      </x:c>
      <x:c r="P189" s="12" t="n">
        <x:f>N189-O189</x:f>
        <x:v>69.3</x:v>
      </x:c>
      <x:c r="Q189" s="12" t="n">
        <x:v>43.3</x:v>
      </x:c>
      <x:c r="R189" s="12" t="n">
        <x:v>8.6</x:v>
      </x:c>
      <x:c r="S189" s="12" t="n">
        <x:v>-67.9</x:v>
      </x:c>
      <x:c r="T189" s="11" t="str">
        <x:v>Low</x:v>
      </x:c>
      <x:c r="U189" s="13" t="n">
        <x:v>19</x:v>
      </x:c>
      <x:c r="V189" s="13" t="n">
        <x:v>10</x:v>
      </x:c>
      <x:c r="W189" s="11"/>
      <x:c r="X189" s="11" t="str">
        <x:v>Veteran model: 2025 form, prior-year trend and new team pass/run forecast; team pass volume #19, rush volume #10</x:v>
      </x:c>
    </x:row>
    <x:row r="190" ht="19" customHeight="1">
      <x:c r="A190" s="11" t="str">
        <x:v>Available</x:v>
      </x:c>
      <x:c r="B190" s="12" t="n">
        <x:v>212.4</x:v>
      </x:c>
      <x:c r="C190" s="12" t="n">
        <x:f>ROUNDUP(B190/12,0)</x:f>
        <x:v>18</x:v>
      </x:c>
      <x:c r="D190" s="13" t="n">
        <x:v>212</x:v>
      </x:c>
      <x:c r="E190" s="12" t="n">
        <x:f>B190-D190</x:f>
        <x:v>0.4000000000000057</x:v>
      </x:c>
      <x:c r="F190" s="13" t="n">
        <x:v>229</x:v>
      </x:c>
      <x:c r="G190" s="12" t="n">
        <x:f>B190-F190</x:f>
        <x:v>-16.599999999999994</x:v>
      </x:c>
      <x:c r="H190" s="11" t="str">
        <x:v>Depth</x:v>
      </x:c>
      <x:c r="I190" s="11" t="str">
        <x:v>Isaac TeSlaa</x:v>
      </x:c>
      <x:c r="J190" s="11" t="str">
        <x:v>WR</x:v>
      </x:c>
      <x:c r="K190" s="13" t="n">
        <x:v>87</x:v>
      </x:c>
      <x:c r="L190" s="13" t="str">
        <x:v>DET</x:v>
      </x:c>
      <x:c r="M190" s="13" t="n">
        <x:v>6</x:v>
      </x:c>
      <x:c r="N190" s="12" t="n">
        <x:v>98.3</x:v>
      </x:c>
      <x:c r="O190" s="12" t="n">
        <x:v>87</x:v>
      </x:c>
      <x:c r="P190" s="12" t="n">
        <x:f>N190-O190</x:f>
        <x:v>11.299999999999997</x:v>
      </x:c>
      <x:c r="Q190" s="12" t="n">
        <x:v>92.7</x:v>
      </x:c>
      <x:c r="R190" s="12" t="n">
        <x:v>11.4</x:v>
      </x:c>
      <x:c r="S190" s="12" t="n">
        <x:v>-59.7</x:v>
      </x:c>
      <x:c r="T190" s="11" t="str">
        <x:v>Medium</x:v>
      </x:c>
      <x:c r="U190" s="13" t="n">
        <x:v>10</x:v>
      </x:c>
      <x:c r="V190" s="13" t="n">
        <x:v>7</x:v>
      </x:c>
      <x:c r="W190" s="11"/>
      <x:c r="X190" s="11" t="str">
        <x:v>Veteran model: 2025 form, prior-year trend and same team pass/run forecast; team pass volume #10, rush volume #7</x:v>
      </x:c>
    </x:row>
    <x:row r="191" ht="19" customHeight="1">
      <x:c r="A191" s="11" t="str">
        <x:v>Available</x:v>
      </x:c>
      <x:c r="B191" s="12" t="n">
        <x:v>213.7</x:v>
      </x:c>
      <x:c r="C191" s="12" t="n">
        <x:f>ROUNDUP(B191/12,0)</x:f>
        <x:v>18</x:v>
      </x:c>
      <x:c r="D191" s="13" t="n">
        <x:v>196</x:v>
      </x:c>
      <x:c r="E191" s="12" t="n">
        <x:f>B191-D191</x:f>
        <x:v>17.69999999999999</x:v>
      </x:c>
      <x:c r="F191" s="13" t="n">
        <x:v>220</x:v>
      </x:c>
      <x:c r="G191" s="12" t="n">
        <x:f>B191-F191</x:f>
        <x:v>-6.300000000000011</x:v>
      </x:c>
      <x:c r="H191" s="11" t="str">
        <x:v>Depth</x:v>
      </x:c>
      <x:c r="I191" s="11" t="str">
        <x:v>Jaylin Noel</x:v>
      </x:c>
      <x:c r="J191" s="11" t="str">
        <x:v>WR</x:v>
      </x:c>
      <x:c r="K191" s="13" t="n">
        <x:v>75</x:v>
      </x:c>
      <x:c r="L191" s="13" t="str">
        <x:v>HOU</x:v>
      </x:c>
      <x:c r="M191" s="13" t="n">
        <x:v>8</x:v>
      </x:c>
      <x:c r="N191" s="12" t="n">
        <x:v>106.7</x:v>
      </x:c>
      <x:c r="O191" s="12" t="n">
        <x:v>114</x:v>
      </x:c>
      <x:c r="P191" s="12" t="n">
        <x:f>N191-O191</x:f>
        <x:v>-7.299999999999997</x:v>
      </x:c>
      <x:c r="Q191" s="12" t="n">
        <x:v>110.3</x:v>
      </x:c>
      <x:c r="R191" s="12" t="n">
        <x:v>11.7</x:v>
      </x:c>
      <x:c r="S191" s="12" t="n">
        <x:v>-49.2</x:v>
      </x:c>
      <x:c r="T191" s="11" t="str">
        <x:v>Medium</x:v>
      </x:c>
      <x:c r="U191" s="13" t="n">
        <x:v>9</x:v>
      </x:c>
      <x:c r="V191" s="13" t="n">
        <x:v>17</x:v>
      </x:c>
      <x:c r="W191" s="11" t="str">
        <x:v>Ques</x:v>
      </x:c>
      <x:c r="X191" s="11" t="str">
        <x:v>Veteran model: 2025 form, prior-year trend and same team pass/run forecast; team pass volume #9, rush volume #17</x:v>
      </x:c>
    </x:row>
    <x:row r="192" ht="19" customHeight="1">
      <x:c r="A192" s="11" t="str">
        <x:v>Available</x:v>
      </x:c>
      <x:c r="B192" s="12" t="n">
        <x:v>215.2</x:v>
      </x:c>
      <x:c r="C192" s="12" t="n">
        <x:f>ROUNDUP(B192/12,0)</x:f>
        <x:v>18</x:v>
      </x:c>
      <x:c r="D192" s="13" t="n">
        <x:v>116</x:v>
      </x:c>
      <x:c r="E192" s="12" t="n">
        <x:f>B192-D192</x:f>
        <x:v>99.19999999999999</x:v>
      </x:c>
      <x:c r="F192" s="13" t="n">
        <x:v>113</x:v>
      </x:c>
      <x:c r="G192" s="12" t="n">
        <x:f>B192-F192</x:f>
        <x:v>102.19999999999999</x:v>
      </x:c>
      <x:c r="H192" s="11" t="str">
        <x:v>Depth</x:v>
      </x:c>
      <x:c r="I192" s="11" t="str">
        <x:v>Cade Otton</x:v>
      </x:c>
      <x:c r="J192" s="11" t="str">
        <x:v>TE</x:v>
      </x:c>
      <x:c r="K192" s="13" t="n">
        <x:v>21</x:v>
      </x:c>
      <x:c r="L192" s="13" t="str">
        <x:v>TB</x:v>
      </x:c>
      <x:c r="M192" s="13" t="n">
        <x:v>10</x:v>
      </x:c>
      <x:c r="N192" s="12" t="n">
        <x:v>142.2</x:v>
      </x:c>
      <x:c r="O192" s="12" t="n">
        <x:v>122</x:v>
      </x:c>
      <x:c r="P192" s="12" t="n">
        <x:f>N192-O192</x:f>
        <x:v>20.19999999999999</x:v>
      </x:c>
      <x:c r="Q192" s="12" t="n">
        <x:v>135.1</x:v>
      </x:c>
      <x:c r="R192" s="12" t="n">
        <x:v>12.5</x:v>
      </x:c>
      <x:c r="S192" s="12" t="n">
        <x:v>-13.3</x:v>
      </x:c>
      <x:c r="T192" s="11" t="str">
        <x:v>High</x:v>
      </x:c>
      <x:c r="U192" s="13" t="n">
        <x:v>12</x:v>
      </x:c>
      <x:c r="V192" s="13" t="n">
        <x:v>11</x:v>
      </x:c>
      <x:c r="W192" s="11" t="str">
        <x:v>Ques</x:v>
      </x:c>
      <x:c r="X192" s="11" t="str">
        <x:v>Veteran model: 2025 form, prior-year trend and same team pass/run forecast; team pass volume #12, rush volume #11</x:v>
      </x:c>
    </x:row>
    <x:row r="193" ht="19" customHeight="1">
      <x:c r="A193" s="11" t="str">
        <x:v>Available</x:v>
      </x:c>
      <x:c r="B193" s="12" t="n">
        <x:v>216.3</x:v>
      </x:c>
      <x:c r="C193" s="12" t="n">
        <x:f>ROUNDUP(B193/12,0)</x:f>
        <x:v>19</x:v>
      </x:c>
      <x:c r="D193" s="13" t="n">
        <x:v>173</x:v>
      </x:c>
      <x:c r="E193" s="12" t="n">
        <x:f>B193-D193</x:f>
        <x:v>43.30000000000001</x:v>
      </x:c>
      <x:c r="F193" s="13" t="n">
        <x:v>129</x:v>
      </x:c>
      <x:c r="G193" s="12" t="n">
        <x:f>B193-F193</x:f>
        <x:v>87.30000000000001</x:v>
      </x:c>
      <x:c r="H193" s="11" t="str">
        <x:v>Depth</x:v>
      </x:c>
      <x:c r="I193" s="11" t="str">
        <x:v>James Conner</x:v>
      </x:c>
      <x:c r="J193" s="11" t="str">
        <x:v>RB</x:v>
      </x:c>
      <x:c r="K193" s="13" t="n">
        <x:v>58</x:v>
      </x:c>
      <x:c r="L193" s="13" t="str">
        <x:v>ARI</x:v>
      </x:c>
      <x:c r="M193" s="13" t="n">
        <x:v>14</x:v>
      </x:c>
      <x:c r="N193" s="12" t="n">
        <x:v>144.6</x:v>
      </x:c>
      <x:c r="O193" s="12" t="n">
        <x:v>57</x:v>
      </x:c>
      <x:c r="P193" s="12" t="n">
        <x:f>N193-O193</x:f>
        <x:v>87.6</x:v>
      </x:c>
      <x:c r="Q193" s="12" t="n">
        <x:v>78.9</x:v>
      </x:c>
      <x:c r="R193" s="12" t="n">
        <x:v>7.2</x:v>
      </x:c>
      <x:c r="S193" s="12" t="n">
        <x:v>-41.8</x:v>
      </x:c>
      <x:c r="T193" s="11" t="str">
        <x:v>Low</x:v>
      </x:c>
      <x:c r="U193" s="13" t="n">
        <x:v>3</x:v>
      </x:c>
      <x:c r="V193" s="13" t="n">
        <x:v>29</x:v>
      </x:c>
      <x:c r="W193" s="11" t="str">
        <x:v>Ques</x:v>
      </x:c>
      <x:c r="X193" s="11" t="str">
        <x:v>Veteran model: 2025 form, prior-year trend and same team pass/run forecast; team pass volume #3, rush volume #29</x:v>
      </x:c>
    </x:row>
    <x:row r="194" ht="19" customHeight="1">
      <x:c r="A194" s="11" t="str">
        <x:v>Available</x:v>
      </x:c>
      <x:c r="B194" s="12" t="n">
        <x:v>217.5</x:v>
      </x:c>
      <x:c r="C194" s="12" t="n">
        <x:f>ROUNDUP(B194/12,0)</x:f>
        <x:v>19</x:v>
      </x:c>
      <x:c r="D194" s="13" t="n">
        <x:v>215</x:v>
      </x:c>
      <x:c r="E194" s="12" t="n">
        <x:f>B194-D194</x:f>
        <x:v>2.5</x:v>
      </x:c>
      <x:c r="F194" s="13" t="n">
        <x:v>212</x:v>
      </x:c>
      <x:c r="G194" s="12" t="n">
        <x:f>B194-F194</x:f>
        <x:v>5.5</x:v>
      </x:c>
      <x:c r="H194" s="11" t="str">
        <x:v>Depth</x:v>
      </x:c>
      <x:c r="I194" s="11" t="str">
        <x:v>Kaleb Johnson</x:v>
      </x:c>
      <x:c r="J194" s="11" t="str">
        <x:v>RB</x:v>
      </x:c>
      <x:c r="K194" s="13" t="n">
        <x:v>64</x:v>
      </x:c>
      <x:c r="L194" s="13" t="str">
        <x:v>PIT</x:v>
      </x:c>
      <x:c r="M194" s="13" t="n">
        <x:v>9</x:v>
      </x:c>
      <x:c r="N194" s="12" t="n">
        <x:v>89.4</x:v>
      </x:c>
      <x:c r="O194" s="12" t="n">
        <x:v>32</x:v>
      </x:c>
      <x:c r="P194" s="12" t="n">
        <x:f>N194-O194</x:f>
        <x:v>57.400000000000006</x:v>
      </x:c>
      <x:c r="Q194" s="12" t="n">
        <x:v>60.7</x:v>
      </x:c>
      <x:c r="R194" s="12" t="n">
        <x:v>8.8</x:v>
      </x:c>
      <x:c r="S194" s="12" t="n">
        <x:v>-60.5</x:v>
      </x:c>
      <x:c r="T194" s="11" t="str">
        <x:v>Medium</x:v>
      </x:c>
      <x:c r="U194" s="13" t="n">
        <x:v>24</x:v>
      </x:c>
      <x:c r="V194" s="13" t="n">
        <x:v>18</x:v>
      </x:c>
      <x:c r="W194" s="11"/>
      <x:c r="X194" s="11" t="str">
        <x:v>Veteran model: 2025 form, prior-year trend and same team pass/run forecast; team pass volume #24, rush volume #18</x:v>
      </x:c>
    </x:row>
    <x:row r="195" ht="19" customHeight="1">
      <x:c r="A195" s="11" t="str">
        <x:v>Available</x:v>
      </x:c>
      <x:c r="B195" s="12" t="n">
        <x:v>218.7</x:v>
      </x:c>
      <x:c r="C195" s="12" t="n">
        <x:f>ROUNDUP(B195/12,0)</x:f>
        <x:v>19</x:v>
      </x:c>
      <x:c r="D195" s="13" t="n">
        <x:v>209</x:v>
      </x:c>
      <x:c r="E195" s="12" t="n">
        <x:f>B195-D195</x:f>
        <x:v>9.699999999999989</x:v>
      </x:c>
      <x:c r="F195" s="13" t="n">
        <x:v>195</x:v>
      </x:c>
      <x:c r="G195" s="12" t="n">
        <x:f>B195-F195</x:f>
        <x:v>23.69999999999999</x:v>
      </x:c>
      <x:c r="H195" s="11" t="str">
        <x:v>Depth</x:v>
      </x:c>
      <x:c r="I195" s="11" t="str">
        <x:v>Antonio Williams</x:v>
      </x:c>
      <x:c r="J195" s="11" t="str">
        <x:v>WR</x:v>
      </x:c>
      <x:c r="K195" s="13" t="n">
        <x:v>91</x:v>
      </x:c>
      <x:c r="L195" s="13" t="str">
        <x:v>WAS</x:v>
      </x:c>
      <x:c r="M195" s="13" t="n">
        <x:v>7</x:v>
      </x:c>
      <x:c r="N195" s="12" t="n">
        <x:v>112</x:v>
      </x:c>
      <x:c r="O195" s="12" t="n">
        <x:v>75</x:v>
      </x:c>
      <x:c r="P195" s="12" t="n">
        <x:f>N195-O195</x:f>
        <x:v>37</x:v>
      </x:c>
      <x:c r="Q195" s="12" t="n">
        <x:v>84.2</x:v>
      </x:c>
      <x:c r="R195" s="12" t="n">
        <x:v>10.2</x:v>
      </x:c>
      <x:c r="S195" s="12" t="n">
        <x:v>-58.6</x:v>
      </x:c>
      <x:c r="T195" s="11" t="str">
        <x:v>Low</x:v>
      </x:c>
      <x:c r="U195" s="13" t="n">
        <x:v>29</x:v>
      </x:c>
      <x:c r="V195" s="13" t="n">
        <x:v>8</x:v>
      </x:c>
      <x:c r="W195" s="11"/>
      <x:c r="X195" s="11" t="str">
        <x:v>Rookie model: pick 71, age and destination-team environment; team pass volume #29, rush volume #8</x:v>
      </x:c>
    </x:row>
    <x:row r="196" ht="19" customHeight="1">
      <x:c r="A196" s="11" t="str">
        <x:v>Available</x:v>
      </x:c>
      <x:c r="B196" s="12" t="n">
        <x:v>219.1</x:v>
      </x:c>
      <x:c r="C196" s="12" t="n">
        <x:f>ROUNDUP(B196/12,0)</x:f>
        <x:v>19</x:v>
      </x:c>
      <x:c r="D196" s="13" t="n">
        <x:v>160</x:v>
      </x:c>
      <x:c r="E196" s="12" t="n">
        <x:f>B196-D196</x:f>
        <x:v>59.099999999999994</x:v>
      </x:c>
      <x:c r="F196" s="13" t="n">
        <x:v>155</x:v>
      </x:c>
      <x:c r="G196" s="12" t="n">
        <x:f>B196-F196</x:f>
        <x:v>64.1</x:v>
      </x:c>
      <x:c r="H196" s="11" t="str">
        <x:v>Depth</x:v>
      </x:c>
      <x:c r="I196" s="11" t="str">
        <x:v>Keenan Allen</x:v>
      </x:c>
      <x:c r="J196" s="11" t="str">
        <x:v>WR</x:v>
      </x:c>
      <x:c r="K196" s="13" t="n">
        <x:v>62</x:v>
      </x:c>
      <x:c r="L196" s="13" t="str">
        <x:v>IND</x:v>
      </x:c>
      <x:c r="M196" s="13" t="n">
        <x:v>13</x:v>
      </x:c>
      <x:c r="N196" s="12" t="n">
        <x:v>144.2</x:v>
      </x:c>
      <x:c r="O196" s="12" t="n">
        <x:v>107</x:v>
      </x:c>
      <x:c r="P196" s="12" t="n">
        <x:f>N196-O196</x:f>
        <x:v>37.19999999999999</x:v>
      </x:c>
      <x:c r="Q196" s="12" t="n">
        <x:v>131.2</x:v>
      </x:c>
      <x:c r="R196" s="12" t="n">
        <x:v>11.9</x:v>
      </x:c>
      <x:c r="S196" s="12" t="n">
        <x:v>-35.4</x:v>
      </x:c>
      <x:c r="T196" s="11" t="str">
        <x:v>High</x:v>
      </x:c>
      <x:c r="U196" s="13" t="n">
        <x:v>21</x:v>
      </x:c>
      <x:c r="V196" s="13" t="n">
        <x:v>13</x:v>
      </x:c>
      <x:c r="W196" s="11"/>
      <x:c r="X196" s="11" t="str">
        <x:v>Veteran model: 2025 form, prior-year trend and new team pass/run forecast; team pass volume #21, rush volume #13</x:v>
      </x:c>
    </x:row>
    <x:row r="197" ht="19" customHeight="1">
      <x:c r="A197" s="11" t="str">
        <x:v>Available</x:v>
      </x:c>
      <x:c r="B197" s="12" t="n">
        <x:v>219.5</x:v>
      </x:c>
      <x:c r="C197" s="12" t="n">
        <x:f>ROUNDUP(B197/12,0)</x:f>
        <x:v>19</x:v>
      </x:c>
      <x:c r="D197" s="13" t="n">
        <x:v>214</x:v>
      </x:c>
      <x:c r="E197" s="12" t="n">
        <x:f>B197-D197</x:f>
        <x:v>5.5</x:v>
      </x:c>
      <x:c r="F197" s="13" t="n">
        <x:v>216</x:v>
      </x:c>
      <x:c r="G197" s="12" t="n">
        <x:f>B197-F197</x:f>
        <x:v>3.5</x:v>
      </x:c>
      <x:c r="H197" s="11" t="str">
        <x:v>Depth</x:v>
      </x:c>
      <x:c r="I197" s="11" t="str">
        <x:v>Marvin Mims</x:v>
      </x:c>
      <x:c r="J197" s="11" t="str">
        <x:v>WR</x:v>
      </x:c>
      <x:c r="K197" s="13" t="n">
        <x:v>85</x:v>
      </x:c>
      <x:c r="L197" s="13" t="str">
        <x:v>DEN</x:v>
      </x:c>
      <x:c r="M197" s="13" t="n">
        <x:v>10</x:v>
      </x:c>
      <x:c r="N197" s="12" t="n">
        <x:v>112.4</x:v>
      </x:c>
      <x:c r="O197" s="12" t="n">
        <x:v>70</x:v>
      </x:c>
      <x:c r="P197" s="12" t="n">
        <x:f>N197-O197</x:f>
        <x:v>42.400000000000006</x:v>
      </x:c>
      <x:c r="Q197" s="12" t="n">
        <x:v>97.6</x:v>
      </x:c>
      <x:c r="R197" s="12" t="n">
        <x:v>12.2</x:v>
      </x:c>
      <x:c r="S197" s="12" t="n">
        <x:v>-60.4</x:v>
      </x:c>
      <x:c r="T197" s="11" t="str">
        <x:v>High</x:v>
      </x:c>
      <x:c r="U197" s="13" t="n">
        <x:v>6</x:v>
      </x:c>
      <x:c r="V197" s="13" t="n">
        <x:v>19</x:v>
      </x:c>
      <x:c r="W197" s="11" t="str">
        <x:v>Ques</x:v>
      </x:c>
      <x:c r="X197" s="11" t="str">
        <x:v>Veteran model: 2025 form, prior-year trend and same team pass/run forecast; team pass volume #6, rush volume #19</x:v>
      </x:c>
    </x:row>
    <x:row r="198" ht="19" customHeight="1">
      <x:c r="A198" s="11" t="str">
        <x:v>Available</x:v>
      </x:c>
      <x:c r="B198" s="12" t="n">
        <x:v>222.1</x:v>
      </x:c>
      <x:c r="C198" s="12" t="n">
        <x:f>ROUNDUP(B198/12,0)</x:f>
        <x:v>19</x:v>
      </x:c>
      <x:c r="D198" s="13" t="n">
        <x:v>233</x:v>
      </x:c>
      <x:c r="E198" s="12" t="n">
        <x:f>B198-D198</x:f>
        <x:v>-10.900000000000006</x:v>
      </x:c>
      <x:c r="F198" s="13" t="n">
        <x:v>231</x:v>
      </x:c>
      <x:c r="G198" s="12" t="n">
        <x:f>B198-F198</x:f>
        <x:v>-8.900000000000006</x:v>
      </x:c>
      <x:c r="H198" s="11" t="str">
        <x:v>Depth</x:v>
      </x:c>
      <x:c r="I198" s="11" t="str">
        <x:v>Kyle Williams</x:v>
      </x:c>
      <x:c r="J198" s="11" t="str">
        <x:v>WR</x:v>
      </x:c>
      <x:c r="K198" s="13" t="n">
        <x:v>96</x:v>
      </x:c>
      <x:c r="L198" s="13" t="str">
        <x:v>NE</x:v>
      </x:c>
      <x:c r="M198" s="13" t="n">
        <x:v>11</x:v>
      </x:c>
      <x:c r="N198" s="12" t="n">
        <x:v>94.2</x:v>
      </x:c>
      <x:c r="O198" s="12" t="n">
        <x:v>31</x:v>
      </x:c>
      <x:c r="P198" s="12" t="n">
        <x:f>N198-O198</x:f>
        <x:v>63.2</x:v>
      </x:c>
      <x:c r="Q198" s="12" t="n">
        <x:v>62.6</x:v>
      </x:c>
      <x:c r="R198" s="12" t="n">
        <x:v>11.4</x:v>
      </x:c>
      <x:c r="S198" s="12" t="n">
        <x:v>-79.9</x:v>
      </x:c>
      <x:c r="T198" s="11" t="str">
        <x:v>Medium</x:v>
      </x:c>
      <x:c r="U198" s="13" t="n">
        <x:v>27</x:v>
      </x:c>
      <x:c r="V198" s="13" t="n">
        <x:v>12</x:v>
      </x:c>
      <x:c r="W198" s="11"/>
      <x:c r="X198" s="11" t="str">
        <x:v>Veteran model: 2025 form, prior-year trend and same team pass/run forecast; team pass volume #27, rush volume #12</x:v>
      </x:c>
    </x:row>
    <x:row r="199" ht="19" customHeight="1">
      <x:c r="A199" s="11" t="str">
        <x:v>Available</x:v>
      </x:c>
      <x:c r="B199" s="12" t="n">
        <x:v>223.2</x:v>
      </x:c>
      <x:c r="C199" s="12" t="n">
        <x:f>ROUNDUP(B199/12,0)</x:f>
        <x:v>19</x:v>
      </x:c>
      <x:c r="D199" s="13" t="n">
        <x:v>184</x:v>
      </x:c>
      <x:c r="E199" s="12" t="n">
        <x:f>B199-D199</x:f>
        <x:v>39.19999999999999</x:v>
      </x:c>
      <x:c r="F199" s="13" t="n">
        <x:v>187</x:v>
      </x:c>
      <x:c r="G199" s="12" t="n">
        <x:f>B199-F199</x:f>
        <x:v>36.19999999999999</x:v>
      </x:c>
      <x:c r="H199" s="11" t="str">
        <x:v>Depth</x:v>
      </x:c>
      <x:c r="I199" s="11" t="str">
        <x:v>Malachi Fields</x:v>
      </x:c>
      <x:c r="J199" s="11" t="str">
        <x:v>WR</x:v>
      </x:c>
      <x:c r="K199" s="13" t="n">
        <x:v>86</x:v>
      </x:c>
      <x:c r="L199" s="13" t="str">
        <x:v>NYG</x:v>
      </x:c>
      <x:c r="M199" s="13" t="n">
        <x:v>8</x:v>
      </x:c>
      <x:c r="N199" s="12" t="n">
        <x:v>110.6</x:v>
      </x:c>
      <x:c r="O199" s="12" t="n">
        <x:v>91</x:v>
      </x:c>
      <x:c r="P199" s="12" t="n">
        <x:f>N199-O199</x:f>
        <x:v>19.599999999999994</x:v>
      </x:c>
      <x:c r="Q199" s="12" t="n">
        <x:v>95.9</x:v>
      </x:c>
      <x:c r="R199" s="12" t="n">
        <x:v>9.2</x:v>
      </x:c>
      <x:c r="S199" s="12" t="n">
        <x:v>-46.5</x:v>
      </x:c>
      <x:c r="T199" s="11" t="str">
        <x:v>Low</x:v>
      </x:c>
      <x:c r="U199" s="13" t="n">
        <x:v>19</x:v>
      </x:c>
      <x:c r="V199" s="13" t="n">
        <x:v>10</x:v>
      </x:c>
      <x:c r="W199" s="11"/>
      <x:c r="X199" s="11" t="str">
        <x:v>Rookie model: pick 74, age and destination-team environment; team pass volume #19, rush volume #10</x:v>
      </x:c>
    </x:row>
    <x:row r="200" ht="19" customHeight="1">
      <x:c r="A200" s="11" t="str">
        <x:v>Available</x:v>
      </x:c>
      <x:c r="B200" s="12" t="n">
        <x:v>224.2</x:v>
      </x:c>
      <x:c r="C200" s="12" t="n">
        <x:f>ROUNDUP(B200/12,0)</x:f>
        <x:v>19</x:v>
      </x:c>
      <x:c r="D200" s="13" t="n">
        <x:v>234</x:v>
      </x:c>
      <x:c r="E200" s="12" t="n">
        <x:f>B200-D200</x:f>
        <x:v>-9.800000000000011</x:v>
      </x:c>
      <x:c r="F200" s="13" t="n">
        <x:v>202</x:v>
      </x:c>
      <x:c r="G200" s="12" t="n">
        <x:f>B200-F200</x:f>
        <x:v>22.19999999999999</x:v>
      </x:c>
      <x:c r="H200" s="11" t="str">
        <x:v>Depth</x:v>
      </x:c>
      <x:c r="I200" s="11" t="str">
        <x:v>J.J. McCarthy</x:v>
      </x:c>
      <x:c r="J200" s="11" t="str">
        <x:v>QB</x:v>
      </x:c>
      <x:c r="K200" s="13" t="n">
        <x:v>32</x:v>
      </x:c>
      <x:c r="L200" s="13" t="str">
        <x:v>MIN</x:v>
      </x:c>
      <x:c r="M200" s="13" t="n">
        <x:v>6</x:v>
      </x:c>
      <x:c r="N200" s="12" t="n">
        <x:v>202.1</x:v>
      </x:c>
      <x:c r="O200" s="12" t="n">
        <x:v>20</x:v>
      </x:c>
      <x:c r="P200" s="12" t="n">
        <x:f>N200-O200</x:f>
        <x:v>182.1</x:v>
      </x:c>
      <x:c r="Q200" s="12" t="n">
        <x:v>111.1</x:v>
      </x:c>
      <x:c r="R200" s="12" t="n">
        <x:v>9.5</x:v>
      </x:c>
      <x:c r="S200" s="12" t="n">
        <x:v>-97.9</x:v>
      </x:c>
      <x:c r="T200" s="11" t="str">
        <x:v>Medium</x:v>
      </x:c>
      <x:c r="U200" s="13" t="n">
        <x:v>26</x:v>
      </x:c>
      <x:c r="V200" s="13" t="n">
        <x:v>27</x:v>
      </x:c>
      <x:c r="W200" s="11"/>
      <x:c r="X200" s="11" t="str">
        <x:v>Veteran model: 2025 form, prior-year trend and same team pass/run forecast; team pass volume #26, rush volume #27</x:v>
      </x:c>
    </x:row>
    <x:row r="201" ht="19" customHeight="1">
      <x:c r="A201" s="11" t="str">
        <x:v>Available</x:v>
      </x:c>
      <x:c r="B201" s="12" t="n">
        <x:v>224.3</x:v>
      </x:c>
      <x:c r="C201" s="12" t="n">
        <x:f>ROUNDUP(B201/12,0)</x:f>
        <x:v>19</x:v>
      </x:c>
      <x:c r="D201" s="13" t="n">
        <x:v>166</x:v>
      </x:c>
      <x:c r="E201" s="12" t="n">
        <x:f>B201-D201</x:f>
        <x:v>58.30000000000001</x:v>
      </x:c>
      <x:c r="F201" s="13" t="n">
        <x:v>179</x:v>
      </x:c>
      <x:c r="G201" s="12" t="n">
        <x:f>B201-F201</x:f>
        <x:v>45.30000000000001</x:v>
      </x:c>
      <x:c r="H201" s="11" t="str">
        <x:v>Depth</x:v>
      </x:c>
      <x:c r="I201" s="11" t="str">
        <x:v>Mason Taylor</x:v>
      </x:c>
      <x:c r="J201" s="11" t="str">
        <x:v>TE</x:v>
      </x:c>
      <x:c r="K201" s="13" t="n">
        <x:v>30</x:v>
      </x:c>
      <x:c r="L201" s="13" t="str">
        <x:v>NYJ</x:v>
      </x:c>
      <x:c r="M201" s="13" t="n">
        <x:v>13</x:v>
      </x:c>
      <x:c r="N201" s="12" t="n">
        <x:v>112.5</x:v>
      </x:c>
      <x:c r="O201" s="12" t="n">
        <x:v>96</x:v>
      </x:c>
      <x:c r="P201" s="12" t="n">
        <x:f>N201-O201</x:f>
        <x:v>16.5</x:v>
      </x:c>
      <x:c r="Q201" s="12" t="n">
        <x:v>104.2</x:v>
      </x:c>
      <x:c r="R201" s="12" t="n">
        <x:v>13.1</x:v>
      </x:c>
      <x:c r="S201" s="12" t="n">
        <x:v>-37.8</x:v>
      </x:c>
      <x:c r="T201" s="11" t="str">
        <x:v>Medium</x:v>
      </x:c>
      <x:c r="U201" s="13" t="n">
        <x:v>20</x:v>
      </x:c>
      <x:c r="V201" s="13" t="n">
        <x:v>28</x:v>
      </x:c>
      <x:c r="W201" s="11"/>
      <x:c r="X201" s="11" t="str">
        <x:v>Veteran model: 2025 form, prior-year trend and same team pass/run forecast; team pass volume #20, rush volume #28</x:v>
      </x:c>
    </x:row>
    <x:row r="202" ht="19" customHeight="1">
      <x:c r="A202" s="11" t="str">
        <x:v>Available</x:v>
      </x:c>
      <x:c r="B202" s="12" t="n">
        <x:v>224.8</x:v>
      </x:c>
      <x:c r="C202" s="12" t="n">
        <x:f>ROUNDUP(B202/12,0)</x:f>
        <x:v>19</x:v>
      </x:c>
      <x:c r="D202" s="13" t="n">
        <x:v>220</x:v>
      </x:c>
      <x:c r="E202" s="12" t="n">
        <x:f>B202-D202</x:f>
        <x:v>4.800000000000011</x:v>
      </x:c>
      <x:c r="F202" s="13" t="n">
        <x:v>190</x:v>
      </x:c>
      <x:c r="G202" s="12" t="n">
        <x:f>B202-F202</x:f>
        <x:v>34.80000000000001</x:v>
      </x:c>
      <x:c r="H202" s="11" t="str">
        <x:v>Depth</x:v>
      </x:c>
      <x:c r="I202" s="11" t="str">
        <x:v>Kendre Miller</x:v>
      </x:c>
      <x:c r="J202" s="11" t="str">
        <x:v>RB</x:v>
      </x:c>
      <x:c r="K202" s="13" t="n">
        <x:v>67</x:v>
      </x:c>
      <x:c r="L202" s="13" t="str">
        <x:v>NO</x:v>
      </x:c>
      <x:c r="M202" s="13" t="n">
        <x:v>8</x:v>
      </x:c>
      <x:c r="N202" s="12" t="n">
        <x:v>104.6</x:v>
      </x:c>
      <x:c r="O202" s="12" t="n">
        <x:v>6</x:v>
      </x:c>
      <x:c r="P202" s="12" t="n">
        <x:f>N202-O202</x:f>
        <x:v>98.6</x:v>
      </x:c>
      <x:c r="Q202" s="12" t="n">
        <x:v>55.3</x:v>
      </x:c>
      <x:c r="R202" s="12" t="n">
        <x:v>8.7</x:v>
      </x:c>
      <x:c r="S202" s="12" t="n">
        <x:v>-62.6</x:v>
      </x:c>
      <x:c r="T202" s="11" t="str">
        <x:v>Medium</x:v>
      </x:c>
      <x:c r="U202" s="13" t="n">
        <x:v>8</x:v>
      </x:c>
      <x:c r="V202" s="13" t="n">
        <x:v>22</x:v>
      </x:c>
      <x:c r="W202" s="11"/>
      <x:c r="X202" s="11" t="str">
        <x:v>Veteran model: 2025 form, prior-year trend and same team pass/run forecast; team pass volume #8, rush volume #22</x:v>
      </x:c>
    </x:row>
    <x:row r="203" ht="19" customHeight="1">
      <x:c r="A203" s="11" t="str">
        <x:v>Available</x:v>
      </x:c>
      <x:c r="B203" s="12" t="n">
        <x:v>225.1</x:v>
      </x:c>
      <x:c r="C203" s="12" t="n">
        <x:f>ROUNDUP(B203/12,0)</x:f>
        <x:v>19</x:v>
      </x:c>
      <x:c r="D203" s="13" t="n">
        <x:v>161</x:v>
      </x:c>
      <x:c r="E203" s="12" t="n">
        <x:f>B203-D203</x:f>
        <x:v>64.1</x:v>
      </x:c>
      <x:c r="F203" s="13" t="n">
        <x:v>148</x:v>
      </x:c>
      <x:c r="G203" s="12" t="n">
        <x:f>B203-F203</x:f>
        <x:v>77.1</x:v>
      </x:c>
      <x:c r="H203" s="11" t="str">
        <x:v>Depth</x:v>
      </x:c>
      <x:c r="I203" s="11" t="str">
        <x:v>Cooper Kupp</x:v>
      </x:c>
      <x:c r="J203" s="11" t="str">
        <x:v>WR</x:v>
      </x:c>
      <x:c r="K203" s="13" t="n">
        <x:v>69</x:v>
      </x:c>
      <x:c r="L203" s="13" t="str">
        <x:v>SEA</x:v>
      </x:c>
      <x:c r="M203" s="13" t="n">
        <x:v>11</x:v>
      </x:c>
      <x:c r="N203" s="12" t="n">
        <x:v>140.5</x:v>
      </x:c>
      <x:c r="O203" s="12" t="n">
        <x:v>86</x:v>
      </x:c>
      <x:c r="P203" s="12" t="n">
        <x:f>N203-O203</x:f>
        <x:v>54.5</x:v>
      </x:c>
      <x:c r="Q203" s="12" t="n">
        <x:v>121.4</x:v>
      </x:c>
      <x:c r="R203" s="12" t="n">
        <x:v>10</x:v>
      </x:c>
      <x:c r="S203" s="12" t="n">
        <x:v>-35.5</x:v>
      </x:c>
      <x:c r="T203" s="11" t="str">
        <x:v>High</x:v>
      </x:c>
      <x:c r="U203" s="13" t="n">
        <x:v>23</x:v>
      </x:c>
      <x:c r="V203" s="13" t="n">
        <x:v>21</x:v>
      </x:c>
      <x:c r="W203" s="11"/>
      <x:c r="X203" s="11" t="str">
        <x:v>Veteran model: 2025 form, prior-year trend and same team pass/run forecast; team pass volume #23, rush volume #21</x:v>
      </x:c>
    </x:row>
    <x:row r="204" ht="19" customHeight="1">
      <x:c r="A204" s="11" t="str">
        <x:v>Available</x:v>
      </x:c>
      <x:c r="B204" s="12" t="n">
        <x:v>226.3</x:v>
      </x:c>
      <x:c r="C204" s="12" t="n">
        <x:f>ROUNDUP(B204/12,0)</x:f>
        <x:v>19</x:v>
      </x:c>
      <x:c r="D204" s="13" t="n">
        <x:v>229</x:v>
      </x:c>
      <x:c r="E204" s="12" t="n">
        <x:f>B204-D204</x:f>
        <x:v>-2.6999999999999886</x:v>
      </x:c>
      <x:c r="F204" s="13" t="n">
        <x:v>218</x:v>
      </x:c>
      <x:c r="G204" s="12" t="n">
        <x:f>B204-F204</x:f>
        <x:v>8.300000000000011</x:v>
      </x:c>
      <x:c r="H204" s="11" t="str">
        <x:v>Depth</x:v>
      </x:c>
      <x:c r="I204" s="11" t="str">
        <x:v>Brashard Smith</x:v>
      </x:c>
      <x:c r="J204" s="11" t="str">
        <x:v>RB</x:v>
      </x:c>
      <x:c r="K204" s="13" t="n">
        <x:v>63</x:v>
      </x:c>
      <x:c r="L204" s="13" t="str">
        <x:v>KC</x:v>
      </x:c>
      <x:c r="M204" s="13" t="n">
        <x:v>5</x:v>
      </x:c>
      <x:c r="N204" s="12" t="n">
        <x:v>107.5</x:v>
      </x:c>
      <x:c r="O204" s="12" t="n">
        <x:v>20</x:v>
      </x:c>
      <x:c r="P204" s="12" t="n">
        <x:f>N204-O204</x:f>
        <x:v>87.5</x:v>
      </x:c>
      <x:c r="Q204" s="12" t="n">
        <x:v>63.7</x:v>
      </x:c>
      <x:c r="R204" s="12" t="n">
        <x:v>11.3</x:v>
      </x:c>
      <x:c r="S204" s="12" t="n">
        <x:v>-75.7</x:v>
      </x:c>
      <x:c r="T204" s="11" t="str">
        <x:v>Medium</x:v>
      </x:c>
      <x:c r="U204" s="13" t="n">
        <x:v>5</x:v>
      </x:c>
      <x:c r="V204" s="13" t="n">
        <x:v>25</x:v>
      </x:c>
      <x:c r="W204" s="11"/>
      <x:c r="X204" s="11" t="str">
        <x:v>Veteran model: 2025 form, prior-year trend and same team pass/run forecast; team pass volume #5, rush volume #25</x:v>
      </x:c>
    </x:row>
    <x:row r="205" ht="19" customHeight="1">
      <x:c r="A205" s="11" t="str">
        <x:v>Available</x:v>
      </x:c>
      <x:c r="B205" s="12" t="n">
        <x:v>227.9</x:v>
      </x:c>
      <x:c r="C205" s="12" t="n">
        <x:f>ROUNDUP(B205/12,0)</x:f>
        <x:v>19</x:v>
      </x:c>
      <x:c r="D205" s="13" t="n">
        <x:v>171</x:v>
      </x:c>
      <x:c r="E205" s="12" t="n">
        <x:f>B205-D205</x:f>
        <x:v>56.900000000000006</x:v>
      </x:c>
      <x:c r="F205" s="13" t="n">
        <x:v>146</x:v>
      </x:c>
      <x:c r="G205" s="12" t="n">
        <x:f>B205-F205</x:f>
        <x:v>81.9</x:v>
      </x:c>
      <x:c r="H205" s="11" t="str">
        <x:v>Depth</x:v>
      </x:c>
      <x:c r="I205" s="11" t="str">
        <x:v>Aaron Rodgers</x:v>
      </x:c>
      <x:c r="J205" s="11" t="str">
        <x:v>QB</x:v>
      </x:c>
      <x:c r="K205" s="13" t="n">
        <x:v>28</x:v>
      </x:c>
      <x:c r="L205" s="13" t="str">
        <x:v>PIT</x:v>
      </x:c>
      <x:c r="M205" s="13" t="n">
        <x:v>9</x:v>
      </x:c>
      <x:c r="N205" s="12" t="n">
        <x:v>246.1</x:v>
      </x:c>
      <x:c r="O205" s="12" t="n">
        <x:v>177</x:v>
      </x:c>
      <x:c r="P205" s="12" t="n">
        <x:f>N205-O205</x:f>
        <x:v>69.1</x:v>
      </x:c>
      <x:c r="Q205" s="12" t="n">
        <x:v>221.9</x:v>
      </x:c>
      <x:c r="R205" s="12" t="n">
        <x:v>10.7</x:v>
      </x:c>
      <x:c r="S205" s="12" t="n">
        <x:v>-40.5</x:v>
      </x:c>
      <x:c r="T205" s="11" t="str">
        <x:v>High</x:v>
      </x:c>
      <x:c r="U205" s="13" t="n">
        <x:v>24</x:v>
      </x:c>
      <x:c r="V205" s="13" t="n">
        <x:v>18</x:v>
      </x:c>
      <x:c r="W205" s="11"/>
      <x:c r="X205" s="11" t="str">
        <x:v>Veteran model: 2025 form, prior-year trend and same team pass/run forecast; team pass volume #24, rush volume #18</x:v>
      </x:c>
    </x:row>
    <x:row r="206" ht="19" customHeight="1">
      <x:c r="A206" s="11" t="str">
        <x:v>Available</x:v>
      </x:c>
      <x:c r="B206" s="12" t="n">
        <x:v>227.9</x:v>
      </x:c>
      <x:c r="C206" s="12" t="n">
        <x:f>ROUNDUP(B206/12,0)</x:f>
        <x:v>19</x:v>
      </x:c>
      <x:c r="D206" s="13" t="n">
        <x:v>232</x:v>
      </x:c>
      <x:c r="E206" s="12" t="n">
        <x:f>B206-D206</x:f>
        <x:v>-4.099999999999994</x:v>
      </x:c>
      <x:c r="F206" s="13" t="n">
        <x:v>213</x:v>
      </x:c>
      <x:c r="G206" s="12" t="n">
        <x:f>B206-F206</x:f>
        <x:v>14.900000000000006</x:v>
      </x:c>
      <x:c r="H206" s="11" t="str">
        <x:v>Depth</x:v>
      </x:c>
      <x:c r="I206" s="11" t="str">
        <x:v>Michael Penix</x:v>
      </x:c>
      <x:c r="J206" s="11" t="str">
        <x:v>QB</x:v>
      </x:c>
      <x:c r="K206" s="13" t="n">
        <x:v>30</x:v>
      </x:c>
      <x:c r="L206" s="13" t="str">
        <x:v>ATL</x:v>
      </x:c>
      <x:c r="M206" s="13" t="n">
        <x:v>11</x:v>
      </x:c>
      <x:c r="N206" s="12" t="n">
        <x:v>202.8</x:v>
      </x:c>
      <x:c r="O206" s="12" t="n">
        <x:v>108</x:v>
      </x:c>
      <x:c r="P206" s="12" t="n">
        <x:f>N206-O206</x:f>
        <x:v>94.80000000000001</x:v>
      </x:c>
      <x:c r="Q206" s="12" t="n">
        <x:v>155.4</x:v>
      </x:c>
      <x:c r="R206" s="12" t="n">
        <x:v>10.3</x:v>
      </x:c>
      <x:c r="S206" s="12" t="n">
        <x:v>-79.2</x:v>
      </x:c>
      <x:c r="T206" s="11" t="str">
        <x:v>Medium</x:v>
      </x:c>
      <x:c r="U206" s="13" t="n">
        <x:v>17</x:v>
      </x:c>
      <x:c r="V206" s="13" t="n">
        <x:v>5</x:v>
      </x:c>
      <x:c r="W206" s="11" t="str">
        <x:v>Ques</x:v>
      </x:c>
      <x:c r="X206" s="11" t="str">
        <x:v>Veteran model: 2025 form, prior-year trend and same team pass/run forecast; team pass volume #17, rush volume #5</x:v>
      </x:c>
    </x:row>
    <x:row r="207" ht="19" customHeight="1">
      <x:c r="A207" s="11" t="str">
        <x:v>Available</x:v>
      </x:c>
      <x:c r="B207" s="12" t="n">
        <x:v>228.3</x:v>
      </x:c>
      <x:c r="C207" s="12" t="n">
        <x:f>ROUNDUP(B207/12,0)</x:f>
        <x:v>20</x:v>
      </x:c>
      <x:c r="D207" s="13" t="n">
        <x:v>192</x:v>
      </x:c>
      <x:c r="E207" s="12" t="n">
        <x:f>B207-D207</x:f>
        <x:v>36.30000000000001</x:v>
      </x:c>
      <x:c r="F207" s="13" t="n">
        <x:v>189</x:v>
      </x:c>
      <x:c r="G207" s="12" t="n">
        <x:f>B207-F207</x:f>
        <x:v>39.30000000000001</x:v>
      </x:c>
      <x:c r="H207" s="11" t="str">
        <x:v>Depth</x:v>
      </x:c>
      <x:c r="I207" s="11" t="str">
        <x:v>Pat Bryant</x:v>
      </x:c>
      <x:c r="J207" s="11" t="str">
        <x:v>WR</x:v>
      </x:c>
      <x:c r="K207" s="13" t="n">
        <x:v>78</x:v>
      </x:c>
      <x:c r="L207" s="13" t="str">
        <x:v>DEN</x:v>
      </x:c>
      <x:c r="M207" s="13" t="n">
        <x:v>10</x:v>
      </x:c>
      <x:c r="N207" s="12" t="n">
        <x:v>119.8</x:v>
      </x:c>
      <x:c r="O207" s="12" t="n">
        <x:v>96</x:v>
      </x:c>
      <x:c r="P207" s="12" t="n">
        <x:f>N207-O207</x:f>
        <x:v>23.799999999999997</x:v>
      </x:c>
      <x:c r="Q207" s="12" t="n">
        <x:v>107.9</x:v>
      </x:c>
      <x:c r="R207" s="12" t="n">
        <x:v>11</x:v>
      </x:c>
      <x:c r="S207" s="12" t="n">
        <x:v>-47.8</x:v>
      </x:c>
      <x:c r="T207" s="11" t="str">
        <x:v>Medium</x:v>
      </x:c>
      <x:c r="U207" s="13" t="n">
        <x:v>6</x:v>
      </x:c>
      <x:c r="V207" s="13" t="n">
        <x:v>19</x:v>
      </x:c>
      <x:c r="W207" s="11"/>
      <x:c r="X207" s="11" t="str">
        <x:v>Veteran model: 2025 form, prior-year trend and same team pass/run forecast; team pass volume #6, rush volume #19</x:v>
      </x:c>
    </x:row>
    <x:row r="208" ht="19" customHeight="1">
      <x:c r="A208" s="11" t="str">
        <x:v>Available</x:v>
      </x:c>
      <x:c r="B208" s="12" t="n">
        <x:v>228.7</x:v>
      </x:c>
      <x:c r="C208" s="12" t="n">
        <x:f>ROUNDUP(B208/12,0)</x:f>
        <x:v>20</x:v>
      </x:c>
      <x:c r="D208" s="13" t="n">
        <x:v>195</x:v>
      </x:c>
      <x:c r="E208" s="12" t="n">
        <x:f>B208-D208</x:f>
        <x:v>33.69999999999999</x:v>
      </x:c>
      <x:c r="F208" s="13" t="n">
        <x:v>196</x:v>
      </x:c>
      <x:c r="G208" s="12" t="n">
        <x:f>B208-F208</x:f>
        <x:v>32.69999999999999</x:v>
      </x:c>
      <x:c r="H208" s="11" t="str">
        <x:v>Depth</x:v>
      </x:c>
      <x:c r="I208" s="11" t="str">
        <x:v>Tory Horton</x:v>
      </x:c>
      <x:c r="J208" s="11" t="str">
        <x:v>WR</x:v>
      </x:c>
      <x:c r="K208" s="13" t="n">
        <x:v>82</x:v>
      </x:c>
      <x:c r="L208" s="13" t="str">
        <x:v>SEA</x:v>
      </x:c>
      <x:c r="M208" s="13" t="n">
        <x:v>11</x:v>
      </x:c>
      <x:c r="N208" s="12" t="n">
        <x:v>113.4</x:v>
      </x:c>
      <x:c r="O208" s="12" t="n">
        <x:v>92</x:v>
      </x:c>
      <x:c r="P208" s="12" t="n">
        <x:f>N208-O208</x:f>
        <x:v>21.400000000000006</x:v>
      </x:c>
      <x:c r="Q208" s="12" t="n">
        <x:v>102.7</x:v>
      </x:c>
      <x:c r="R208" s="12" t="n">
        <x:v>10.5</x:v>
      </x:c>
      <x:c r="S208" s="12" t="n">
        <x:v>-48.9</x:v>
      </x:c>
      <x:c r="T208" s="11" t="str">
        <x:v>Medium</x:v>
      </x:c>
      <x:c r="U208" s="13" t="n">
        <x:v>23</x:v>
      </x:c>
      <x:c r="V208" s="13" t="n">
        <x:v>21</x:v>
      </x:c>
      <x:c r="W208" s="11" t="str">
        <x:v>Ques</x:v>
      </x:c>
      <x:c r="X208" s="11" t="str">
        <x:v>Veteran model: 2025 form, prior-year trend and same team pass/run forecast; team pass volume #23, rush volume #21</x:v>
      </x:c>
    </x:row>
    <x:row r="209" ht="19" customHeight="1">
      <x:c r="A209" s="11" t="str">
        <x:v>Available</x:v>
      </x:c>
      <x:c r="B209" s="12" t="n">
        <x:v>229.2</x:v>
      </x:c>
      <x:c r="C209" s="12" t="n">
        <x:f>ROUNDUP(B209/12,0)</x:f>
        <x:v>20</x:v>
      </x:c>
      <x:c r="D209" s="13" t="n">
        <x:v>217</x:v>
      </x:c>
      <x:c r="E209" s="12" t="n">
        <x:f>B209-D209</x:f>
        <x:v>12.199999999999989</x:v>
      </x:c>
      <x:c r="F209" s="13" t="n">
        <x:v>223</x:v>
      </x:c>
      <x:c r="G209" s="12" t="n">
        <x:f>B209-F209</x:f>
        <x:v>6.199999999999989</x:v>
      </x:c>
      <x:c r="H209" s="11" t="str">
        <x:v>Depth</x:v>
      </x:c>
      <x:c r="I209" s="11" t="str">
        <x:v>Elijah Sarratt</x:v>
      </x:c>
      <x:c r="J209" s="11" t="str">
        <x:v>WR</x:v>
      </x:c>
      <x:c r="K209" s="13" t="n">
        <x:v>94</x:v>
      </x:c>
      <x:c r="L209" s="13" t="str">
        <x:v>BAL</x:v>
      </x:c>
      <x:c r="M209" s="13" t="n">
        <x:v>13</x:v>
      </x:c>
      <x:c r="N209" s="12" t="n">
        <x:v>79.8</x:v>
      </x:c>
      <x:c r="O209" s="12" t="n">
        <x:v>61</x:v>
      </x:c>
      <x:c r="P209" s="12" t="n">
        <x:f>N209-O209</x:f>
        <x:v>18.799999999999997</x:v>
      </x:c>
      <x:c r="Q209" s="12" t="n">
        <x:v>65.7</x:v>
      </x:c>
      <x:c r="R209" s="12" t="n">
        <x:v>9</x:v>
      </x:c>
      <x:c r="S209" s="12" t="n">
        <x:v>-61.5</x:v>
      </x:c>
      <x:c r="T209" s="11" t="str">
        <x:v>Low</x:v>
      </x:c>
      <x:c r="U209" s="13" t="n">
        <x:v>32</x:v>
      </x:c>
      <x:c r="V209" s="13" t="n">
        <x:v>1</x:v>
      </x:c>
      <x:c r="W209" s="11"/>
      <x:c r="X209" s="11" t="str">
        <x:v>Rookie model: pick 115, age and destination-team environment; team pass volume #32, rush volume #1</x:v>
      </x:c>
    </x:row>
    <x:row r="210" ht="19" customHeight="1">
      <x:c r="A210" s="11" t="str">
        <x:v>Available</x:v>
      </x:c>
      <x:c r="B210" s="12" t="n">
        <x:v>229.4</x:v>
      </x:c>
      <x:c r="C210" s="12" t="n">
        <x:f>ROUNDUP(B210/12,0)</x:f>
        <x:v>20</x:v>
      </x:c>
      <x:c r="D210" s="13" t="n">
        <x:v>199</x:v>
      </x:c>
      <x:c r="E210" s="12" t="n">
        <x:f>B210-D210</x:f>
        <x:v>30.400000000000006</x:v>
      </x:c>
      <x:c r="F210" s="13" t="n">
        <x:v>184</x:v>
      </x:c>
      <x:c r="G210" s="12" t="n">
        <x:f>B210-F210</x:f>
        <x:v>45.400000000000006</x:v>
      </x:c>
      <x:c r="H210" s="11" t="str">
        <x:v>Depth</x:v>
      </x:c>
      <x:c r="I210" s="11" t="str">
        <x:v>Chimere Dike</x:v>
      </x:c>
      <x:c r="J210" s="11" t="str">
        <x:v>WR</x:v>
      </x:c>
      <x:c r="K210" s="13" t="n">
        <x:v>76</x:v>
      </x:c>
      <x:c r="L210" s="13" t="str">
        <x:v>TEN</x:v>
      </x:c>
      <x:c r="M210" s="13" t="n">
        <x:v>9</x:v>
      </x:c>
      <x:c r="N210" s="12" t="n">
        <x:v>128.1</x:v>
      </x:c>
      <x:c r="O210" s="12" t="n">
        <x:v>89</x:v>
      </x:c>
      <x:c r="P210" s="12" t="n">
        <x:f>N210-O210</x:f>
        <x:v>39.099999999999994</x:v>
      </x:c>
      <x:c r="Q210" s="12" t="n">
        <x:v>108.5</x:v>
      </x:c>
      <x:c r="R210" s="12" t="n">
        <x:v>12.1</x:v>
      </x:c>
      <x:c r="S210" s="12" t="n">
        <x:v>-52.2</x:v>
      </x:c>
      <x:c r="T210" s="11" t="str">
        <x:v>Medium</x:v>
      </x:c>
      <x:c r="U210" s="13" t="n">
        <x:v>18</x:v>
      </x:c>
      <x:c r="V210" s="13" t="n">
        <x:v>30</x:v>
      </x:c>
      <x:c r="W210" s="11"/>
      <x:c r="X210" s="11" t="str">
        <x:v>Veteran model: 2025 form, prior-year trend and same team pass/run forecast; team pass volume #18, rush volume #30</x:v>
      </x:c>
    </x:row>
    <x:row r="211" ht="19" customHeight="1">
      <x:c r="A211" s="11" t="str">
        <x:v>Available</x:v>
      </x:c>
      <x:c r="B211" s="12" t="n">
        <x:v>229.7</x:v>
      </x:c>
      <x:c r="C211" s="12" t="n">
        <x:f>ROUNDUP(B211/12,0)</x:f>
        <x:v>20</x:v>
      </x:c>
      <x:c r="D211" s="13" t="n">
        <x:v>155</x:v>
      </x:c>
      <x:c r="E211" s="12" t="n">
        <x:f>B211-D211</x:f>
        <x:v>74.69999999999999</x:v>
      </x:c>
      <x:c r="F211" s="13" t="n">
        <x:v>159</x:v>
      </x:c>
      <x:c r="G211" s="12" t="n">
        <x:f>B211-F211</x:f>
        <x:v>70.69999999999999</x:v>
      </x:c>
      <x:c r="H211" s="11" t="str">
        <x:v>Depth</x:v>
      </x:c>
      <x:c r="I211" s="11" t="str">
        <x:v>Bryce Young</x:v>
      </x:c>
      <x:c r="J211" s="11" t="str">
        <x:v>QB</x:v>
      </x:c>
      <x:c r="K211" s="13" t="n">
        <x:v>25</x:v>
      </x:c>
      <x:c r="L211" s="13" t="str">
        <x:v>CAR</x:v>
      </x:c>
      <x:c r="M211" s="13" t="n">
        <x:v>5</x:v>
      </x:c>
      <x:c r="N211" s="12" t="n">
        <x:v>246.9</x:v>
      </x:c>
      <x:c r="O211" s="12" t="n">
        <x:v>236</x:v>
      </x:c>
      <x:c r="P211" s="12" t="n">
        <x:f>N211-O211</x:f>
        <x:v>10.900000000000006</x:v>
      </x:c>
      <x:c r="Q211" s="12" t="n">
        <x:v>243.1</x:v>
      </x:c>
      <x:c r="R211" s="12" t="n">
        <x:v>12.3</x:v>
      </x:c>
      <x:c r="S211" s="12" t="n">
        <x:v>-31.2</x:v>
      </x:c>
      <x:c r="T211" s="11" t="str">
        <x:v>High</x:v>
      </x:c>
      <x:c r="U211" s="13" t="n">
        <x:v>22</x:v>
      </x:c>
      <x:c r="V211" s="13" t="n">
        <x:v>23</x:v>
      </x:c>
      <x:c r="W211" s="11"/>
      <x:c r="X211" s="11" t="str">
        <x:v>Veteran model: 2025 form, prior-year trend and same team pass/run forecast; team pass volume #22, rush volume #23</x:v>
      </x:c>
    </x:row>
    <x:row r="212" ht="19" customHeight="1">
      <x:c r="A212" s="11" t="str">
        <x:v>Available</x:v>
      </x:c>
      <x:c r="B212" s="12" t="n">
        <x:v>230.4</x:v>
      </x:c>
      <x:c r="C212" s="12" t="n">
        <x:f>ROUNDUP(B212/12,0)</x:f>
        <x:v>20</x:v>
      </x:c>
      <x:c r="D212" s="13" t="n">
        <x:v>150</x:v>
      </x:c>
      <x:c r="E212" s="12" t="n">
        <x:f>B212-D212</x:f>
        <x:v>80.4</x:v>
      </x:c>
      <x:c r="F212" s="13" t="n">
        <x:v>176</x:v>
      </x:c>
      <x:c r="G212" s="12" t="n">
        <x:f>B212-F212</x:f>
        <x:v>54.400000000000006</x:v>
      </x:c>
      <x:c r="H212" s="11" t="str">
        <x:v>Depth</x:v>
      </x:c>
      <x:c r="I212" s="11" t="str">
        <x:v>Greg Dulcich</x:v>
      </x:c>
      <x:c r="J212" s="11" t="str">
        <x:v>TE</x:v>
      </x:c>
      <x:c r="K212" s="13" t="n">
        <x:v>29</x:v>
      </x:c>
      <x:c r="L212" s="13" t="str">
        <x:v>MIA</x:v>
      </x:c>
      <x:c r="M212" s="13" t="n">
        <x:v>6</x:v>
      </x:c>
      <x:c r="N212" s="12" t="n">
        <x:v>102.8</x:v>
      </x:c>
      <x:c r="O212" s="12" t="n">
        <x:v>111</x:v>
      </x:c>
      <x:c r="P212" s="12" t="n">
        <x:f>N212-O212</x:f>
        <x:v>-8.200000000000003</x:v>
      </x:c>
      <x:c r="Q212" s="12" t="n">
        <x:v>106.9</x:v>
      </x:c>
      <x:c r="R212" s="12" t="n">
        <x:v>10.5</x:v>
      </x:c>
      <x:c r="S212" s="12" t="n">
        <x:v>-28.6</x:v>
      </x:c>
      <x:c r="T212" s="11" t="str">
        <x:v>Medium</x:v>
      </x:c>
      <x:c r="U212" s="13" t="n">
        <x:v>25</x:v>
      </x:c>
      <x:c r="V212" s="13" t="n">
        <x:v>24</x:v>
      </x:c>
      <x:c r="W212" s="11"/>
      <x:c r="X212" s="11" t="str">
        <x:v>Veteran model: 2025 form, prior-year trend and same team pass/run forecast; team pass volume #25, rush volume #24</x:v>
      </x:c>
    </x:row>
    <x:row r="213" ht="19" customHeight="1">
      <x:c r="A213" s="11" t="str">
        <x:v>Available</x:v>
      </x:c>
      <x:c r="B213" s="12" t="n">
        <x:v>230.8</x:v>
      </x:c>
      <x:c r="C213" s="12" t="n">
        <x:f>ROUNDUP(B213/12,0)</x:f>
        <x:v>20</x:v>
      </x:c>
      <x:c r="D213" s="13" t="n">
        <x:v>187</x:v>
      </x:c>
      <x:c r="E213" s="12" t="n">
        <x:f>B213-D213</x:f>
        <x:v>43.80000000000001</x:v>
      </x:c>
      <x:c r="F213" s="13" t="n">
        <x:v>164</x:v>
      </x:c>
      <x:c r="G213" s="12" t="n">
        <x:f>B213-F213</x:f>
        <x:v>66.80000000000001</x:v>
      </x:c>
      <x:c r="H213" s="11" t="str">
        <x:v>Depth</x:v>
      </x:c>
      <x:c r="I213" s="11" t="str">
        <x:v>Germie Bernard</x:v>
      </x:c>
      <x:c r="J213" s="11" t="str">
        <x:v>WR</x:v>
      </x:c>
      <x:c r="K213" s="13" t="n">
        <x:v>77</x:v>
      </x:c>
      <x:c r="L213" s="13" t="str">
        <x:v>PIT</x:v>
      </x:c>
      <x:c r="M213" s="13" t="n">
        <x:v>9</x:v>
      </x:c>
      <x:c r="N213" s="12" t="n">
        <x:v>135.2</x:v>
      </x:c>
      <x:c r="O213" s="12" t="n">
        <x:v>99</x:v>
      </x:c>
      <x:c r="P213" s="12" t="n">
        <x:f>N213-O213</x:f>
        <x:v>36.19999999999999</x:v>
      </x:c>
      <x:c r="Q213" s="12" t="n">
        <x:v>108.1</x:v>
      </x:c>
      <x:c r="R213" s="12" t="n">
        <x:v>10.8</x:v>
      </x:c>
      <x:c r="S213" s="12" t="n">
        <x:v>-46.8</x:v>
      </x:c>
      <x:c r="T213" s="11" t="str">
        <x:v>Low</x:v>
      </x:c>
      <x:c r="U213" s="13" t="n">
        <x:v>24</x:v>
      </x:c>
      <x:c r="V213" s="13" t="n">
        <x:v>18</x:v>
      </x:c>
      <x:c r="W213" s="11"/>
      <x:c r="X213" s="11" t="str">
        <x:v>Rookie model: pick 47, age and destination-team environment; team pass volume #24, rush volume #18</x:v>
      </x:c>
    </x:row>
    <x:row r="214" ht="19" customHeight="1">
      <x:c r="A214" s="11" t="str">
        <x:v>Available</x:v>
      </x:c>
      <x:c r="B214" s="12" t="n">
        <x:v>232.2</x:v>
      </x:c>
      <x:c r="C214" s="12" t="n">
        <x:f>ROUNDUP(B214/12,0)</x:f>
        <x:v>20</x:v>
      </x:c>
      <x:c r="D214" s="13" t="n">
        <x:v>146</x:v>
      </x:c>
      <x:c r="E214" s="12" t="n">
        <x:f>B214-D214</x:f>
        <x:v>86.19999999999999</x:v>
      </x:c>
      <x:c r="F214" s="13" t="n">
        <x:v>122</x:v>
      </x:c>
      <x:c r="G214" s="12" t="n">
        <x:f>B214-F214</x:f>
        <x:v>110.19999999999999</x:v>
      </x:c>
      <x:c r="H214" s="11" t="str">
        <x:v>Depth</x:v>
      </x:c>
      <x:c r="I214" s="11" t="str">
        <x:v>Theo Johnson</x:v>
      </x:c>
      <x:c r="J214" s="11" t="str">
        <x:v>TE</x:v>
      </x:c>
      <x:c r="K214" s="13" t="n">
        <x:v>25</x:v>
      </x:c>
      <x:c r="L214" s="13" t="str">
        <x:v>NYG</x:v>
      </x:c>
      <x:c r="M214" s="13" t="n">
        <x:v>8</x:v>
      </x:c>
      <x:c r="N214" s="12" t="n">
        <x:v>140.4</x:v>
      </x:c>
      <x:c r="O214" s="12" t="n">
        <x:v>77</x:v>
      </x:c>
      <x:c r="P214" s="12" t="n">
        <x:f>N214-O214</x:f>
        <x:v>63.400000000000006</x:v>
      </x:c>
      <x:c r="Q214" s="12" t="n">
        <x:v>118.2</x:v>
      </x:c>
      <x:c r="R214" s="12" t="n">
        <x:v>12.9</x:v>
      </x:c>
      <x:c r="S214" s="12" t="n">
        <x:v>-26.6</x:v>
      </x:c>
      <x:c r="T214" s="11" t="str">
        <x:v>High</x:v>
      </x:c>
      <x:c r="U214" s="13" t="n">
        <x:v>19</x:v>
      </x:c>
      <x:c r="V214" s="13" t="n">
        <x:v>10</x:v>
      </x:c>
      <x:c r="W214" s="11"/>
      <x:c r="X214" s="11" t="str">
        <x:v>Veteran model: 2025 form, prior-year trend and same team pass/run forecast; team pass volume #19, rush volume #10</x:v>
      </x:c>
    </x:row>
    <x:row r="215" ht="19" customHeight="1">
      <x:c r="A215" s="11" t="str">
        <x:v>Available</x:v>
      </x:c>
      <x:c r="B215" s="12" t="n">
        <x:v>232.5</x:v>
      </x:c>
      <x:c r="C215" s="12" t="n">
        <x:f>ROUNDUP(B215/12,0)</x:f>
        <x:v>20</x:v>
      </x:c>
      <x:c r="D215" s="13" t="n">
        <x:v>202</x:v>
      </x:c>
      <x:c r="E215" s="12" t="n">
        <x:f>B215-D215</x:f>
        <x:v>30.5</x:v>
      </x:c>
      <x:c r="F215" s="13" t="n">
        <x:v>192</x:v>
      </x:c>
      <x:c r="G215" s="12" t="n">
        <x:f>B215-F215</x:f>
        <x:v>40.5</x:v>
      </x:c>
      <x:c r="H215" s="11" t="str">
        <x:v>Depth</x:v>
      </x:c>
      <x:c r="I215" s="11" t="str">
        <x:v>Jaydon Blue</x:v>
      </x:c>
      <x:c r="J215" s="11" t="str">
        <x:v>RB</x:v>
      </x:c>
      <x:c r="K215" s="13" t="n">
        <x:v>62</x:v>
      </x:c>
      <x:c r="L215" s="13" t="str">
        <x:v>DAL</x:v>
      </x:c>
      <x:c r="M215" s="13" t="n">
        <x:v>14</x:v>
      </x:c>
      <x:c r="N215" s="12" t="n">
        <x:v>101.5</x:v>
      </x:c>
      <x:c r="O215" s="12" t="n">
        <x:v>57</x:v>
      </x:c>
      <x:c r="P215" s="12" t="n">
        <x:f>N215-O215</x:f>
        <x:v>44.5</x:v>
      </x:c>
      <x:c r="Q215" s="12" t="n">
        <x:v>68.1</x:v>
      </x:c>
      <x:c r="R215" s="12" t="n">
        <x:v>8.4</x:v>
      </x:c>
      <x:c r="S215" s="12" t="n">
        <x:v>-54.1</x:v>
      </x:c>
      <x:c r="T215" s="11" t="str">
        <x:v>Low</x:v>
      </x:c>
      <x:c r="U215" s="13" t="n">
        <x:v>2</x:v>
      </x:c>
      <x:c r="V215" s="13" t="n">
        <x:v>20</x:v>
      </x:c>
      <x:c r="W215" s="11" t="str">
        <x:v>Ques</x:v>
      </x:c>
      <x:c r="X215" s="11" t="str">
        <x:v>Veteran model: 2025 form, prior-year trend and same team pass/run forecast; team pass volume #2, rush volume #20</x:v>
      </x:c>
    </x:row>
    <x:row r="216" ht="19" customHeight="1">
      <x:c r="A216" s="11" t="str">
        <x:v>Available</x:v>
      </x:c>
      <x:c r="B216" s="12" t="n">
        <x:v>232.7</x:v>
      </x:c>
      <x:c r="C216" s="12" t="n">
        <x:f>ROUNDUP(B216/12,0)</x:f>
        <x:v>20</x:v>
      </x:c>
      <x:c r="D216" s="13" t="n">
        <x:v>191</x:v>
      </x:c>
      <x:c r="E216" s="12" t="n">
        <x:f>B216-D216</x:f>
        <x:v>41.69999999999999</x:v>
      </x:c>
      <x:c r="F216" s="13" t="n">
        <x:v>207</x:v>
      </x:c>
      <x:c r="G216" s="12" t="n">
        <x:f>B216-F216</x:f>
        <x:v>25.69999999999999</x:v>
      </x:c>
      <x:c r="H216" s="11" t="str">
        <x:v>Depth</x:v>
      </x:c>
      <x:c r="I216" s="11" t="str">
        <x:v>Rashod Bateman</x:v>
      </x:c>
      <x:c r="J216" s="11" t="str">
        <x:v>WR</x:v>
      </x:c>
      <x:c r="K216" s="13" t="n">
        <x:v>81</x:v>
      </x:c>
      <x:c r="L216" s="13" t="str">
        <x:v>BAL</x:v>
      </x:c>
      <x:c r="M216" s="13" t="n">
        <x:v>13</x:v>
      </x:c>
      <x:c r="N216" s="12" t="n">
        <x:v>104.3</x:v>
      </x:c>
      <x:c r="O216" s="12" t="n">
        <x:v>102</x:v>
      </x:c>
      <x:c r="P216" s="12" t="n">
        <x:f>N216-O216</x:f>
        <x:v>2.299999999999997</x:v>
      </x:c>
      <x:c r="Q216" s="12" t="n">
        <x:v>103.5</x:v>
      </x:c>
      <x:c r="R216" s="12" t="n">
        <x:v>10.3</x:v>
      </x:c>
      <x:c r="S216" s="12" t="n">
        <x:v>-47.4</x:v>
      </x:c>
      <x:c r="T216" s="11" t="str">
        <x:v>High</x:v>
      </x:c>
      <x:c r="U216" s="13" t="n">
        <x:v>32</x:v>
      </x:c>
      <x:c r="V216" s="13" t="n">
        <x:v>1</x:v>
      </x:c>
      <x:c r="W216" s="11"/>
      <x:c r="X216" s="11" t="str">
        <x:v>Veteran model: 2025 form, prior-year trend and same team pass/run forecast; team pass volume #32, rush volume #1</x:v>
      </x:c>
    </x:row>
    <x:row r="217" ht="19" customHeight="1">
      <x:c r="A217" s="11" t="str">
        <x:v>Available</x:v>
      </x:c>
      <x:c r="B217" s="12" t="n">
        <x:v>233.3</x:v>
      </x:c>
      <x:c r="C217" s="12" t="n">
        <x:f>ROUNDUP(B217/12,0)</x:f>
        <x:v>20</x:v>
      </x:c>
      <x:c r="D217" s="13" t="n">
        <x:v>226</x:v>
      </x:c>
      <x:c r="E217" s="12" t="n">
        <x:f>B217-D217</x:f>
        <x:v>7.300000000000011</x:v>
      </x:c>
      <x:c r="F217" s="13" t="n">
        <x:v>233</x:v>
      </x:c>
      <x:c r="G217" s="12" t="n">
        <x:f>B217-F217</x:f>
        <x:v>0.30000000000001137</x:v>
      </x:c>
      <x:c r="H217" s="11" t="str">
        <x:v>Depth</x:v>
      </x:c>
      <x:c r="I217" s="11" t="str">
        <x:v>Ray Davis</x:v>
      </x:c>
      <x:c r="J217" s="11" t="str">
        <x:v>RB</x:v>
      </x:c>
      <x:c r="K217" s="13" t="n">
        <x:v>56</x:v>
      </x:c>
      <x:c r="L217" s="13" t="str">
        <x:v>BUF</x:v>
      </x:c>
      <x:c r="M217" s="13" t="n">
        <x:v>7</x:v>
      </x:c>
      <x:c r="N217" s="12" t="n">
        <x:v>91.4</x:v>
      </x:c>
      <x:c r="O217" s="12" t="n">
        <x:v>65</x:v>
      </x:c>
      <x:c r="P217" s="12" t="n">
        <x:f>N217-O217</x:f>
        <x:v>26.400000000000006</x:v>
      </x:c>
      <x:c r="Q217" s="12" t="n">
        <x:v>82.1</x:v>
      </x:c>
      <x:c r="R217" s="12" t="n">
        <x:v>12.1</x:v>
      </x:c>
      <x:c r="S217" s="12" t="n">
        <x:v>-68</x:v>
      </x:c>
      <x:c r="T217" s="11" t="str">
        <x:v>High</x:v>
      </x:c>
      <x:c r="U217" s="13" t="n">
        <x:v>28</x:v>
      </x:c>
      <x:c r="V217" s="13" t="n">
        <x:v>3</x:v>
      </x:c>
      <x:c r="W217" s="11"/>
      <x:c r="X217" s="11" t="str">
        <x:v>Veteran model: 2025 form, prior-year trend and same team pass/run forecast; team pass volume #28, rush volume #3</x:v>
      </x:c>
    </x:row>
    <x:row r="218" ht="19" customHeight="1">
      <x:c r="A218" s="11" t="str">
        <x:v>Available</x:v>
      </x:c>
      <x:c r="B218" s="12" t="n">
        <x:v>234.3</x:v>
      </x:c>
      <x:c r="C218" s="12" t="n">
        <x:f>ROUNDUP(B218/12,0)</x:f>
        <x:v>20</x:v>
      </x:c>
      <x:c r="D218" s="13" t="n">
        <x:v>156</x:v>
      </x:c>
      <x:c r="E218" s="12" t="n">
        <x:f>B218-D218</x:f>
        <x:v>78.30000000000001</x:v>
      </x:c>
      <x:c r="F218" s="13" t="n">
        <x:v>214</x:v>
      </x:c>
      <x:c r="G218" s="12" t="n">
        <x:f>B218-F218</x:f>
        <x:v>20.30000000000001</x:v>
      </x:c>
      <x:c r="H218" s="11" t="str">
        <x:v>Depth</x:v>
      </x:c>
      <x:c r="I218" s="11" t="str">
        <x:v>Gunnar Helm</x:v>
      </x:c>
      <x:c r="J218" s="11" t="str">
        <x:v>TE</x:v>
      </x:c>
      <x:c r="K218" s="13" t="n">
        <x:v>27</x:v>
      </x:c>
      <x:c r="L218" s="13" t="str">
        <x:v>TEN</x:v>
      </x:c>
      <x:c r="M218" s="13" t="n">
        <x:v>9</x:v>
      </x:c>
      <x:c r="N218" s="12" t="n">
        <x:v>98.4</x:v>
      </x:c>
      <x:c r="O218" s="12" t="n">
        <x:v>130</x:v>
      </x:c>
      <x:c r="P218" s="12" t="n">
        <x:f>N218-O218</x:f>
        <x:v>-31.599999999999994</x:v>
      </x:c>
      <x:c r="Q218" s="12" t="n">
        <x:v>114.2</x:v>
      </x:c>
      <x:c r="R218" s="12" t="n">
        <x:v>13.6</x:v>
      </x:c>
      <x:c r="S218" s="12" t="n">
        <x:v>-31.2</x:v>
      </x:c>
      <x:c r="T218" s="11" t="str">
        <x:v>Medium</x:v>
      </x:c>
      <x:c r="U218" s="13" t="n">
        <x:v>18</x:v>
      </x:c>
      <x:c r="V218" s="13" t="n">
        <x:v>30</x:v>
      </x:c>
      <x:c r="W218" s="11"/>
      <x:c r="X218" s="11" t="str">
        <x:v>Veteran model: 2025 form, prior-year trend and same team pass/run forecast; team pass volume #18, rush volume #30</x:v>
      </x:c>
    </x:row>
    <x:row r="219" ht="19" customHeight="1">
      <x:c r="A219" s="11" t="str">
        <x:v>Available</x:v>
      </x:c>
      <x:c r="B219" s="12" t="n">
        <x:v>234.8</x:v>
      </x:c>
      <x:c r="C219" s="12" t="n">
        <x:f>ROUNDUP(B219/12,0)</x:f>
        <x:v>20</x:v>
      </x:c>
      <x:c r="D219" s="13" t="n">
        <x:v>170</x:v>
      </x:c>
      <x:c r="E219" s="12" t="n">
        <x:f>B219-D219</x:f>
        <x:v>64.80000000000001</x:v>
      </x:c>
      <x:c r="F219" s="13" t="n">
        <x:v>151</x:v>
      </x:c>
      <x:c r="G219" s="12" t="n">
        <x:f>B219-F219</x:f>
        <x:v>83.80000000000001</x:v>
      </x:c>
      <x:c r="H219" s="11" t="str">
        <x:v>Depth</x:v>
      </x:c>
      <x:c r="I219" s="11" t="str">
        <x:v>Keon Coleman</x:v>
      </x:c>
      <x:c r="J219" s="11" t="str">
        <x:v>WR</x:v>
      </x:c>
      <x:c r="K219" s="13" t="n">
        <x:v>68</x:v>
      </x:c>
      <x:c r="L219" s="13" t="str">
        <x:v>BUF</x:v>
      </x:c>
      <x:c r="M219" s="13" t="n">
        <x:v>7</x:v>
      </x:c>
      <x:c r="N219" s="12" t="n">
        <x:v>146.4</x:v>
      </x:c>
      <x:c r="O219" s="12" t="n">
        <x:v>86</x:v>
      </x:c>
      <x:c r="P219" s="12" t="n">
        <x:f>N219-O219</x:f>
        <x:v>60.400000000000006</x:v>
      </x:c>
      <x:c r="Q219" s="12" t="n">
        <x:v>125.3</x:v>
      </x:c>
      <x:c r="R219" s="12" t="n">
        <x:v>12</x:v>
      </x:c>
      <x:c r="S219" s="12" t="n">
        <x:v>-39.9</x:v>
      </x:c>
      <x:c r="T219" s="11" t="str">
        <x:v>High</x:v>
      </x:c>
      <x:c r="U219" s="13" t="n">
        <x:v>28</x:v>
      </x:c>
      <x:c r="V219" s="13" t="n">
        <x:v>3</x:v>
      </x:c>
      <x:c r="W219" s="11" t="str">
        <x:v>Ques</x:v>
      </x:c>
      <x:c r="X219" s="11" t="str">
        <x:v>Veteran model: 2025 form, prior-year trend and same team pass/run forecast; team pass volume #28, rush volume #3</x:v>
      </x:c>
    </x:row>
    <x:row r="220" ht="19" customHeight="1">
      <x:c r="A220" s="11" t="str">
        <x:v>Available</x:v>
      </x:c>
      <x:c r="B220" s="12" t="n">
        <x:v>235.5</x:v>
      </x:c>
      <x:c r="C220" s="12" t="n">
        <x:f>ROUNDUP(B220/12,0)</x:f>
        <x:v>20</x:v>
      </x:c>
      <x:c r="D220" s="13" t="n">
        <x:v>178</x:v>
      </x:c>
      <x:c r="E220" s="12" t="n">
        <x:f>B220-D220</x:f>
        <x:v>57.5</x:v>
      </x:c>
      <x:c r="F220" s="13" t="n">
        <x:v>205</x:v>
      </x:c>
      <x:c r="G220" s="12" t="n">
        <x:f>B220-F220</x:f>
        <x:v>30.5</x:v>
      </x:c>
      <x:c r="H220" s="11" t="str">
        <x:v>Depth</x:v>
      </x:c>
      <x:c r="I220" s="11" t="str">
        <x:v>Ryan Flournoy</x:v>
      </x:c>
      <x:c r="J220" s="11" t="str">
        <x:v>WR</x:v>
      </x:c>
      <x:c r="K220" s="13" t="n">
        <x:v>71</x:v>
      </x:c>
      <x:c r="L220" s="13" t="str">
        <x:v>DAL</x:v>
      </x:c>
      <x:c r="M220" s="13" t="n">
        <x:v>14</x:v>
      </x:c>
      <x:c r="N220" s="12" t="n">
        <x:v>111.3</x:v>
      </x:c>
      <x:c r="O220" s="12" t="n">
        <x:v>121</x:v>
      </x:c>
      <x:c r="P220" s="12" t="n">
        <x:f>N220-O220</x:f>
        <x:v>-9.700000000000003</x:v>
      </x:c>
      <x:c r="Q220" s="12" t="n">
        <x:v>114.7</x:v>
      </x:c>
      <x:c r="R220" s="12" t="n">
        <x:v>11.3</x:v>
      </x:c>
      <x:c r="S220" s="12" t="n">
        <x:v>-44.6</x:v>
      </x:c>
      <x:c r="T220" s="11" t="str">
        <x:v>High</x:v>
      </x:c>
      <x:c r="U220" s="13" t="n">
        <x:v>2</x:v>
      </x:c>
      <x:c r="V220" s="13" t="n">
        <x:v>20</x:v>
      </x:c>
      <x:c r="W220" s="11"/>
      <x:c r="X220" s="11" t="str">
        <x:v>Veteran model: 2025 form, prior-year trend and same team pass/run forecast; team pass volume #2, rush volume #20</x:v>
      </x:c>
    </x:row>
    <x:row r="221" ht="19" customHeight="1">
      <x:c r="A221" s="11" t="str">
        <x:v>Available</x:v>
      </x:c>
      <x:c r="B221" s="12" t="n">
        <x:v>236.1</x:v>
      </x:c>
      <x:c r="C221" s="12" t="n">
        <x:f>ROUNDUP(B221/12,0)</x:f>
        <x:v>20</x:v>
      </x:c>
      <x:c r="D221" s="13" t="n">
        <x:v>218</x:v>
      </x:c>
      <x:c r="E221" s="12" t="n">
        <x:f>B221-D221</x:f>
        <x:v>18.099999999999994</x:v>
      </x:c>
      <x:c r="F221" s="13" t="n">
        <x:v>197</x:v>
      </x:c>
      <x:c r="G221" s="12" t="n">
        <x:f>B221-F221</x:f>
        <x:v>39.099999999999994</x:v>
      </x:c>
      <x:c r="H221" s="11" t="str">
        <x:v>Depth</x:v>
      </x:c>
      <x:c r="I221" s="11" t="str">
        <x:v>Shedeur Sanders</x:v>
      </x:c>
      <x:c r="J221" s="11" t="str">
        <x:v>QB</x:v>
      </x:c>
      <x:c r="K221" s="13" t="n">
        <x:v>31</x:v>
      </x:c>
      <x:c r="L221" s="13" t="str">
        <x:v>CLE</x:v>
      </x:c>
      <x:c r="M221" s="13" t="n">
        <x:v>11</x:v>
      </x:c>
      <x:c r="N221" s="12" t="n">
        <x:v>183.2</x:v>
      </x:c>
      <x:c r="O221" s="12" t="n">
        <x:v>97</x:v>
      </x:c>
      <x:c r="P221" s="12" t="n">
        <x:f>N221-O221</x:f>
        <x:v>86.19999999999999</x:v>
      </x:c>
      <x:c r="Q221" s="12" t="n">
        <x:v>140.1</x:v>
      </x:c>
      <x:c r="R221" s="12" t="n">
        <x:v>7.2</x:v>
      </x:c>
      <x:c r="S221" s="12" t="n">
        <x:v>-61.9</x:v>
      </x:c>
      <x:c r="T221" s="11" t="str">
        <x:v>Medium</x:v>
      </x:c>
      <x:c r="U221" s="13" t="n">
        <x:v>4</x:v>
      </x:c>
      <x:c r="V221" s="13" t="n">
        <x:v>26</x:v>
      </x:c>
      <x:c r="W221" s="11"/>
      <x:c r="X221" s="11" t="str">
        <x:v>Veteran model: 2025 form, prior-year trend and same team pass/run forecast; team pass volume #4, rush volume #26</x:v>
      </x:c>
    </x:row>
    <x:row r="222" ht="19" customHeight="1">
      <x:c r="A222" s="11" t="str">
        <x:v>Available</x:v>
      </x:c>
      <x:c r="B222" s="12" t="n">
        <x:v>236.5</x:v>
      </x:c>
      <x:c r="C222" s="12" t="n">
        <x:f>ROUNDUP(B222/12,0)</x:f>
        <x:v>20</x:v>
      </x:c>
      <x:c r="D222" s="13" t="n">
        <x:v>228</x:v>
      </x:c>
      <x:c r="E222" s="12" t="n">
        <x:f>B222-D222</x:f>
        <x:v>8.5</x:v>
      </x:c>
      <x:c r="F222" s="13" t="n">
        <x:v>226</x:v>
      </x:c>
      <x:c r="G222" s="12" t="n">
        <x:f>B222-F222</x:f>
        <x:v>10.5</x:v>
      </x:c>
      <x:c r="H222" s="11" t="str">
        <x:v>Depth</x:v>
      </x:c>
      <x:c r="I222" s="11" t="str">
        <x:v>Tua Tagovailoa</x:v>
      </x:c>
      <x:c r="J222" s="11" t="str">
        <x:v>QB</x:v>
      </x:c>
      <x:c r="K222" s="13" t="n">
        <x:v>29</x:v>
      </x:c>
      <x:c r="L222" s="13" t="str">
        <x:v>ATL</x:v>
      </x:c>
      <x:c r="M222" s="13" t="n">
        <x:v>11</x:v>
      </x:c>
      <x:c r="N222" s="12" t="n">
        <x:v>203.1</x:v>
      </x:c>
      <x:c r="O222" s="12" t="n">
        <x:v>138</x:v>
      </x:c>
      <x:c r="P222" s="12" t="n">
        <x:f>N222-O222</x:f>
        <x:v>65.1</x:v>
      </x:c>
      <x:c r="Q222" s="12" t="n">
        <x:v>180.3</x:v>
      </x:c>
      <x:c r="R222" s="12" t="n">
        <x:v>11.5</x:v>
      </x:c>
      <x:c r="S222" s="12" t="n">
        <x:v>-71.6</x:v>
      </x:c>
      <x:c r="T222" s="11" t="str">
        <x:v>High</x:v>
      </x:c>
      <x:c r="U222" s="13" t="n">
        <x:v>17</x:v>
      </x:c>
      <x:c r="V222" s="13" t="n">
        <x:v>5</x:v>
      </x:c>
      <x:c r="W222" s="11"/>
      <x:c r="X222" s="11" t="str">
        <x:v>Veteran model: 2025 form, prior-year trend and new team pass/run forecast; team pass volume #17, rush volume #5</x:v>
      </x:c>
    </x:row>
    <x:row r="223" ht="19" customHeight="1">
      <x:c r="A223" s="11" t="str">
        <x:v>Available</x:v>
      </x:c>
      <x:c r="B223" s="12" t="n">
        <x:v>237.4</x:v>
      </x:c>
      <x:c r="C223" s="12" t="n">
        <x:f>ROUNDUP(B223/12,0)</x:f>
        <x:v>20</x:v>
      </x:c>
      <x:c r="D223" s="13" t="n">
        <x:v>227</x:v>
      </x:c>
      <x:c r="E223" s="12" t="n">
        <x:f>B223-D223</x:f>
        <x:v>10.400000000000006</x:v>
      </x:c>
      <x:c r="F223" s="13" t="n">
        <x:v>139</x:v>
      </x:c>
      <x:c r="G223" s="12" t="n">
        <x:f>B223-F223</x:f>
        <x:v>98.4</x:v>
      </x:c>
      <x:c r="H223" s="11" t="str">
        <x:v>Depth</x:v>
      </x:c>
      <x:c r="I223" s="11" t="str">
        <x:v>Audric Estime</x:v>
      </x:c>
      <x:c r="J223" s="11" t="str">
        <x:v>RB</x:v>
      </x:c>
      <x:c r="K223" s="13" t="n">
        <x:v>68</x:v>
      </x:c>
      <x:c r="L223" s="13" t="str">
        <x:v>NO</x:v>
      </x:c>
      <x:c r="M223" s="13" t="n">
        <x:v>8</x:v>
      </x:c>
      <x:c r="N223" s="12" t="n">
        <x:v>147.5</x:v>
      </x:c>
      <x:c r="O223" s="12" t="n">
        <x:v>23</x:v>
      </x:c>
      <x:c r="P223" s="12" t="n">
        <x:f>N223-O223</x:f>
        <x:v>124.5</x:v>
      </x:c>
      <x:c r="Q223" s="12" t="n">
        <x:v>54.1</x:v>
      </x:c>
      <x:c r="R223" s="12" t="n">
        <x:v>9.8</x:v>
      </x:c>
      <x:c r="S223" s="12" t="n">
        <x:v>-71.2</x:v>
      </x:c>
      <x:c r="T223" s="11" t="str">
        <x:v>Low</x:v>
      </x:c>
      <x:c r="U223" s="13" t="n">
        <x:v>8</x:v>
      </x:c>
      <x:c r="V223" s="13" t="n">
        <x:v>22</x:v>
      </x:c>
      <x:c r="W223" s="11" t="str">
        <x:v>Ques</x:v>
      </x:c>
      <x:c r="X223" s="11" t="str">
        <x:v>Veteran model: 2025 form, prior-year trend and same team pass/run forecast; team pass volume #8, rush volume #22</x:v>
      </x:c>
    </x:row>
    <x:row r="224" ht="19" customHeight="1">
      <x:c r="A224" s="11" t="str">
        <x:v>Available</x:v>
      </x:c>
      <x:c r="B224" s="12" t="n">
        <x:v>237.7</x:v>
      </x:c>
      <x:c r="C224" s="12" t="n">
        <x:f>ROUNDUP(B224/12,0)</x:f>
        <x:v>20</x:v>
      </x:c>
      <x:c r="D224" s="13" t="n">
        <x:v>200</x:v>
      </x:c>
      <x:c r="E224" s="12" t="n">
        <x:f>B224-D224</x:f>
        <x:v>37.69999999999999</x:v>
      </x:c>
      <x:c r="F224" s="13" t="n">
        <x:v>217</x:v>
      </x:c>
      <x:c r="G224" s="12" t="n">
        <x:f>B224-F224</x:f>
        <x:v>20.69999999999999</x:v>
      </x:c>
      <x:c r="H224" s="11" t="str">
        <x:v>Depth</x:v>
      </x:c>
      <x:c r="I224" s="11" t="str">
        <x:v>Adonai Mitchell</x:v>
      </x:c>
      <x:c r="J224" s="11" t="str">
        <x:v>WR</x:v>
      </x:c>
      <x:c r="K224" s="13" t="n">
        <x:v>79</x:v>
      </x:c>
      <x:c r="L224" s="13" t="str">
        <x:v>NYJ</x:v>
      </x:c>
      <x:c r="M224" s="13" t="n">
        <x:v>13</x:v>
      </x:c>
      <x:c r="N224" s="12" t="n">
        <x:v>109.2</x:v>
      </x:c>
      <x:c r="O224" s="12" t="n">
        <x:v>98</x:v>
      </x:c>
      <x:c r="P224" s="12" t="n">
        <x:f>N224-O224</x:f>
        <x:v>11.200000000000003</x:v>
      </x:c>
      <x:c r="Q224" s="12" t="n">
        <x:v>105.2</x:v>
      </x:c>
      <x:c r="R224" s="12" t="n">
        <x:v>11.7</x:v>
      </x:c>
      <x:c r="S224" s="12" t="n">
        <x:v>-52.7</x:v>
      </x:c>
      <x:c r="T224" s="11" t="str">
        <x:v>High</x:v>
      </x:c>
      <x:c r="U224" s="13" t="n">
        <x:v>20</x:v>
      </x:c>
      <x:c r="V224" s="13" t="n">
        <x:v>28</x:v>
      </x:c>
      <x:c r="W224" s="11"/>
      <x:c r="X224" s="11" t="str">
        <x:v>Veteran model: 2025 form, prior-year trend and same team pass/run forecast; team pass volume #20, rush volume #28</x:v>
      </x:c>
    </x:row>
    <x:row r="225" ht="19" customHeight="1">
      <x:c r="A225" s="11" t="str">
        <x:v>Available</x:v>
      </x:c>
      <x:c r="B225" s="12" t="n">
        <x:v>237.9</x:v>
      </x:c>
      <x:c r="C225" s="12" t="n">
        <x:f>ROUNDUP(B225/12,0)</x:f>
        <x:v>20</x:v>
      </x:c>
      <x:c r="D225" s="13" t="n">
        <x:v>169</x:v>
      </x:c>
      <x:c r="E225" s="12" t="n">
        <x:f>B225-D225</x:f>
        <x:v>68.9</x:v>
      </x:c>
      <x:c r="F225" s="13" t="n">
        <x:v>157</x:v>
      </x:c>
      <x:c r="G225" s="12" t="n">
        <x:f>B225-F225</x:f>
        <x:v>80.9</x:v>
      </x:c>
      <x:c r="H225" s="11" t="str">
        <x:v>Depth</x:v>
      </x:c>
      <x:c r="I225" s="11" t="str">
        <x:v>Kayshon Boutte</x:v>
      </x:c>
      <x:c r="J225" s="11" t="str">
        <x:v>WR</x:v>
      </x:c>
      <x:c r="K225" s="13" t="n">
        <x:v>65</x:v>
      </x:c>
      <x:c r="L225" s="13" t="str">
        <x:v>NE</x:v>
      </x:c>
      <x:c r="M225" s="13" t="n">
        <x:v>11</x:v>
      </x:c>
      <x:c r="N225" s="12" t="n">
        <x:v>145</x:v>
      </x:c>
      <x:c r="O225" s="12" t="n">
        <x:v>95</x:v>
      </x:c>
      <x:c r="P225" s="12" t="n">
        <x:f>N225-O225</x:f>
        <x:v>50</x:v>
      </x:c>
      <x:c r="Q225" s="12" t="n">
        <x:v>127.5</x:v>
      </x:c>
      <x:c r="R225" s="12" t="n">
        <x:v>12.2</x:v>
      </x:c>
      <x:c r="S225" s="12" t="n">
        <x:v>-39</x:v>
      </x:c>
      <x:c r="T225" s="11" t="str">
        <x:v>High</x:v>
      </x:c>
      <x:c r="U225" s="13" t="n">
        <x:v>27</x:v>
      </x:c>
      <x:c r="V225" s="13" t="n">
        <x:v>12</x:v>
      </x:c>
      <x:c r="W225" s="11"/>
      <x:c r="X225" s="11" t="str">
        <x:v>Veteran model: 2025 form, prior-year trend and same team pass/run forecast; team pass volume #27, rush volume #12</x:v>
      </x:c>
    </x:row>
    <x:row r="226" ht="19" customHeight="1">
      <x:c r="A226" s="11" t="str">
        <x:v>Available</x:v>
      </x:c>
      <x:c r="B226" s="12" t="n">
        <x:v>238.2</x:v>
      </x:c>
      <x:c r="C226" s="12" t="n">
        <x:f>ROUNDUP(B226/12,0)</x:f>
        <x:v>20</x:v>
      </x:c>
      <x:c r="D226" s="13" t="n">
        <x:v>201</x:v>
      </x:c>
      <x:c r="E226" s="12" t="n">
        <x:f>B226-D226</x:f>
        <x:v>37.19999999999999</x:v>
      </x:c>
      <x:c r="F226" s="13" t="n">
        <x:v>206</x:v>
      </x:c>
      <x:c r="G226" s="12" t="n">
        <x:f>B226-F226</x:f>
        <x:v>32.19999999999999</x:v>
      </x:c>
      <x:c r="H226" s="11" t="str">
        <x:v>Depth</x:v>
      </x:c>
      <x:c r="I226" s="11" t="str">
        <x:v>Jack Bech</x:v>
      </x:c>
      <x:c r="J226" s="11" t="str">
        <x:v>WR</x:v>
      </x:c>
      <x:c r="K226" s="13" t="n">
        <x:v>88</x:v>
      </x:c>
      <x:c r="L226" s="13" t="str">
        <x:v>LV</x:v>
      </x:c>
      <x:c r="M226" s="13" t="n">
        <x:v>13</x:v>
      </x:c>
      <x:c r="N226" s="12" t="n">
        <x:v>102.4</x:v>
      </x:c>
      <x:c r="O226" s="12" t="n">
        <x:v>78</x:v>
      </x:c>
      <x:c r="P226" s="12" t="n">
        <x:f>N226-O226</x:f>
        <x:v>24.400000000000006</x:v>
      </x:c>
      <x:c r="Q226" s="12" t="n">
        <x:v>90.2</x:v>
      </x:c>
      <x:c r="R226" s="12" t="n">
        <x:v>10</x:v>
      </x:c>
      <x:c r="S226" s="12" t="n">
        <x:v>-53.9</x:v>
      </x:c>
      <x:c r="T226" s="11" t="str">
        <x:v>Medium</x:v>
      </x:c>
      <x:c r="U226" s="13" t="n">
        <x:v>15</x:v>
      </x:c>
      <x:c r="V226" s="13" t="n">
        <x:v>32</x:v>
      </x:c>
      <x:c r="W226" s="11"/>
      <x:c r="X226" s="11" t="str">
        <x:v>Veteran model: 2025 form, prior-year trend and same team pass/run forecast; team pass volume #15, rush volume #32</x:v>
      </x:c>
    </x:row>
    <x:row r="227" ht="19" customHeight="1">
      <x:c r="A227" s="11" t="str">
        <x:v>Available</x:v>
      </x:c>
      <x:c r="B227" s="12" t="n">
        <x:v>239.6</x:v>
      </x:c>
      <x:c r="C227" s="12" t="n">
        <x:f>ROUNDUP(B227/12,0)</x:f>
        <x:v>20</x:v>
      </x:c>
      <x:c r="D227" s="13" t="n">
        <x:v>180</x:v>
      </x:c>
      <x:c r="E227" s="12" t="n">
        <x:f>B227-D227</x:f>
        <x:v>59.599999999999994</x:v>
      </x:c>
      <x:c r="F227" s="13" t="n">
        <x:v>172</x:v>
      </x:c>
      <x:c r="G227" s="12" t="n">
        <x:f>B227-F227</x:f>
        <x:v>67.6</x:v>
      </x:c>
      <x:c r="H227" s="11" t="str">
        <x:v>Depth</x:v>
      </x:c>
      <x:c r="I227" s="11" t="str">
        <x:v>Eli Stowers</x:v>
      </x:c>
      <x:c r="J227" s="11" t="str">
        <x:v>TE</x:v>
      </x:c>
      <x:c r="K227" s="13" t="n">
        <x:v>32</x:v>
      </x:c>
      <x:c r="L227" s="13" t="str">
        <x:v>PHI</x:v>
      </x:c>
      <x:c r="M227" s="13" t="n">
        <x:v>10</x:v>
      </x:c>
      <x:c r="N227" s="12" t="n">
        <x:v>111.2</x:v>
      </x:c>
      <x:c r="O227" s="12" t="n">
        <x:v>81</x:v>
      </x:c>
      <x:c r="P227" s="12" t="n">
        <x:f>N227-O227</x:f>
        <x:v>30.200000000000003</x:v>
      </x:c>
      <x:c r="Q227" s="12" t="n">
        <x:v>88.5</x:v>
      </x:c>
      <x:c r="R227" s="12" t="n">
        <x:v>11.9</x:v>
      </x:c>
      <x:c r="S227" s="12" t="n">
        <x:v>-45.3</x:v>
      </x:c>
      <x:c r="T227" s="11" t="str">
        <x:v>Low</x:v>
      </x:c>
      <x:c r="U227" s="13" t="n">
        <x:v>31</x:v>
      </x:c>
      <x:c r="V227" s="13" t="n">
        <x:v>2</x:v>
      </x:c>
      <x:c r="W227" s="11"/>
      <x:c r="X227" s="11" t="str">
        <x:v>Rookie model: pick 54, age and destination-team environment; team pass volume #31, rush volume #2</x:v>
      </x:c>
    </x:row>
    <x:row r="228" ht="19" customHeight="1">
      <x:c r="A228" s="11" t="str">
        <x:v>Available</x:v>
      </x:c>
      <x:c r="B228" s="12" t="n">
        <x:v>239.6</x:v>
      </x:c>
      <x:c r="C228" s="12" t="n">
        <x:f>ROUNDUP(B228/12,0)</x:f>
        <x:v>20</x:v>
      </x:c>
      <x:c r="D228" s="13" t="n">
        <x:v>188</x:v>
      </x:c>
      <x:c r="E228" s="12" t="n">
        <x:f>B228-D228</x:f>
        <x:v>51.599999999999994</x:v>
      </x:c>
      <x:c r="F228" s="13" t="n">
        <x:v>193</x:v>
      </x:c>
      <x:c r="G228" s="12" t="n">
        <x:f>B228-F228</x:f>
        <x:v>46.599999999999994</x:v>
      </x:c>
      <x:c r="H228" s="11" t="str">
        <x:v>Depth</x:v>
      </x:c>
      <x:c r="I228" s="11" t="str">
        <x:v>Ted Hurst</x:v>
      </x:c>
      <x:c r="J228" s="11" t="str">
        <x:v>WR</x:v>
      </x:c>
      <x:c r="K228" s="13" t="n">
        <x:v>83</x:v>
      </x:c>
      <x:c r="L228" s="13" t="str">
        <x:v>TB</x:v>
      </x:c>
      <x:c r="M228" s="13" t="n">
        <x:v>10</x:v>
      </x:c>
      <x:c r="N228" s="12" t="n">
        <x:v>113</x:v>
      </x:c>
      <x:c r="O228" s="12" t="n">
        <x:v>98</x:v>
      </x:c>
      <x:c r="P228" s="12" t="n">
        <x:f>N228-O228</x:f>
        <x:v>15</x:v>
      </x:c>
      <x:c r="Q228" s="12" t="n">
        <x:v>101.7</x:v>
      </x:c>
      <x:c r="R228" s="12" t="n">
        <x:v>10</x:v>
      </x:c>
      <x:c r="S228" s="12" t="n">
        <x:v>-47.1</x:v>
      </x:c>
      <x:c r="T228" s="11" t="str">
        <x:v>Low</x:v>
      </x:c>
      <x:c r="U228" s="13" t="n">
        <x:v>12</x:v>
      </x:c>
      <x:c r="V228" s="13" t="n">
        <x:v>11</x:v>
      </x:c>
      <x:c r="W228" s="11"/>
      <x:c r="X228" s="11" t="str">
        <x:v>Rookie model: pick 84, age and destination-team environment; team pass volume #12, rush volume #11</x:v>
      </x:c>
    </x:row>
    <x:row r="229" ht="19" customHeight="1">
      <x:c r="A229" s="11" t="str">
        <x:v>Available</x:v>
      </x:c>
      <x:c r="B229" s="12" t="n">
        <x:v>239.8</x:v>
      </x:c>
      <x:c r="C229" s="12" t="n">
        <x:f>ROUNDUP(B229/12,0)</x:f>
        <x:v>20</x:v>
      </x:c>
      <x:c r="D229" s="13" t="n">
        <x:v>162</x:v>
      </x:c>
      <x:c r="E229" s="12" t="n">
        <x:f>B229-D229</x:f>
        <x:v>77.80000000000001</x:v>
      </x:c>
      <x:c r="F229" s="13" t="n">
        <x:v>174</x:v>
      </x:c>
      <x:c r="G229" s="12" t="n">
        <x:f>B229-F229</x:f>
        <x:v>65.80000000000001</x:v>
      </x:c>
      <x:c r="H229" s="11" t="str">
        <x:v>Depth</x:v>
      </x:c>
      <x:c r="I229" s="11" t="str">
        <x:v>Devaughn Vele</x:v>
      </x:c>
      <x:c r="J229" s="11" t="str">
        <x:v>WR</x:v>
      </x:c>
      <x:c r="K229" s="13" t="n">
        <x:v>72</x:v>
      </x:c>
      <x:c r="L229" s="13" t="str">
        <x:v>NO</x:v>
      </x:c>
      <x:c r="M229" s="13" t="n">
        <x:v>8</x:v>
      </x:c>
      <x:c r="N229" s="12" t="n">
        <x:v>115.5</x:v>
      </x:c>
      <x:c r="O229" s="12" t="n">
        <x:v>111</x:v>
      </x:c>
      <x:c r="P229" s="12" t="n">
        <x:f>N229-O229</x:f>
        <x:v>4.5</x:v>
      </x:c>
      <x:c r="Q229" s="12" t="n">
        <x:v>113.3</x:v>
      </x:c>
      <x:c r="R229" s="12" t="n">
        <x:v>8.9</x:v>
      </x:c>
      <x:c r="S229" s="12" t="n">
        <x:v>-35.9</x:v>
      </x:c>
      <x:c r="T229" s="11" t="str">
        <x:v>Medium</x:v>
      </x:c>
      <x:c r="U229" s="13" t="n">
        <x:v>8</x:v>
      </x:c>
      <x:c r="V229" s="13" t="n">
        <x:v>22</x:v>
      </x:c>
      <x:c r="W229" s="11"/>
      <x:c r="X229" s="11" t="str">
        <x:v>Veteran model: 2025 form, prior-year trend and same team pass/run forecast; team pass volume #8, rush volume #22</x:v>
      </x:c>
    </x:row>
    <x:row r="230" ht="19" customHeight="1">
      <x:c r="A230" s="11" t="str">
        <x:v>Available</x:v>
      </x:c>
      <x:c r="B230" s="12" t="n">
        <x:v>239.9</x:v>
      </x:c>
      <x:c r="C230" s="12" t="n">
        <x:f>ROUNDUP(B230/12,0)</x:f>
        <x:v>20</x:v>
      </x:c>
      <x:c r="D230" s="13" t="n">
        <x:v>133</x:v>
      </x:c>
      <x:c r="E230" s="12" t="n">
        <x:f>B230-D230</x:f>
        <x:v>106.9</x:v>
      </x:c>
      <x:c r="F230" s="13" t="n">
        <x:v>153</x:v>
      </x:c>
      <x:c r="G230" s="12" t="n">
        <x:f>B230-F230</x:f>
        <x:v>86.9</x:v>
      </x:c>
      <x:c r="H230" s="11" t="str">
        <x:v>Depth</x:v>
      </x:c>
      <x:c r="I230" s="11" t="str">
        <x:v>Pat Freiermuth</x:v>
      </x:c>
      <x:c r="J230" s="11" t="str">
        <x:v>TE</x:v>
      </x:c>
      <x:c r="K230" s="13" t="n">
        <x:v>24</x:v>
      </x:c>
      <x:c r="L230" s="13" t="str">
        <x:v>PIT</x:v>
      </x:c>
      <x:c r="M230" s="13" t="n">
        <x:v>9</x:v>
      </x:c>
      <x:c r="N230" s="12" t="n">
        <x:v>126.8</x:v>
      </x:c>
      <x:c r="O230" s="12" t="n">
        <x:v>128</x:v>
      </x:c>
      <x:c r="P230" s="12" t="n">
        <x:f>N230-O230</x:f>
        <x:v>-1.2000000000000028</x:v>
      </x:c>
      <x:c r="Q230" s="12" t="n">
        <x:v>127.2</x:v>
      </x:c>
      <x:c r="R230" s="12" t="n">
        <x:v>12.9</x:v>
      </x:c>
      <x:c r="S230" s="12" t="n">
        <x:v>-19.7</x:v>
      </x:c>
      <x:c r="T230" s="11" t="str">
        <x:v>High</x:v>
      </x:c>
      <x:c r="U230" s="13" t="n">
        <x:v>24</x:v>
      </x:c>
      <x:c r="V230" s="13" t="n">
        <x:v>18</x:v>
      </x:c>
      <x:c r="W230" s="11"/>
      <x:c r="X230" s="11" t="str">
        <x:v>Veteran model: 2025 form, prior-year trend and same team pass/run forecast; team pass volume #24, rush volume #18</x:v>
      </x:c>
    </x:row>
    <x:row r="231" ht="19" customHeight="1">
      <x:c r="A231" s="11" t="str">
        <x:v>Available</x:v>
      </x:c>
      <x:c r="B231" s="12" t="n">
        <x:v>240.6</x:v>
      </x:c>
      <x:c r="C231" s="12" t="n">
        <x:f>ROUNDUP(B231/12,0)</x:f>
        <x:v>21</x:v>
      </x:c>
      <x:c r="D231" s="13" t="n">
        <x:v>224</x:v>
      </x:c>
      <x:c r="E231" s="12" t="n">
        <x:f>B231-D231</x:f>
        <x:v>16.599999999999994</x:v>
      </x:c>
      <x:c r="F231" s="13" t="n">
        <x:v>227</x:v>
      </x:c>
      <x:c r="G231" s="12" t="n">
        <x:f>B231-F231</x:f>
        <x:v>13.599999999999994</x:v>
      </x:c>
      <x:c r="H231" s="11" t="str">
        <x:v>Depth</x:v>
      </x:c>
      <x:c r="I231" s="11" t="str">
        <x:v>Kaytron Allen</x:v>
      </x:c>
      <x:c r="J231" s="11" t="str">
        <x:v>RB</x:v>
      </x:c>
      <x:c r="K231" s="13" t="n">
        <x:v>69</x:v>
      </x:c>
      <x:c r="L231" s="13" t="str">
        <x:v>WAS</x:v>
      </x:c>
      <x:c r="M231" s="13" t="n">
        <x:v>7</x:v>
      </x:c>
      <x:c r="N231" s="12" t="n">
        <x:v>78.4</x:v>
      </x:c>
      <x:c r="O231" s="12" t="n">
        <x:v>46</x:v>
      </x:c>
      <x:c r="P231" s="12" t="n">
        <x:f>N231-O231</x:f>
        <x:v>32.400000000000006</x:v>
      </x:c>
      <x:c r="Q231" s="12" t="n">
        <x:v>54.1</x:v>
      </x:c>
      <x:c r="R231" s="12" t="n">
        <x:v>8.9</x:v>
      </x:c>
      <x:c r="S231" s="12" t="n">
        <x:v>-64.7</x:v>
      </x:c>
      <x:c r="T231" s="11" t="str">
        <x:v>Low</x:v>
      </x:c>
      <x:c r="U231" s="13" t="n">
        <x:v>29</x:v>
      </x:c>
      <x:c r="V231" s="13" t="n">
        <x:v>8</x:v>
      </x:c>
      <x:c r="W231" s="11"/>
      <x:c r="X231" s="11" t="str">
        <x:v>Rookie model: pick 187, age and destination-team environment; team pass volume #29, rush volume #8</x:v>
      </x:c>
    </x:row>
    <x:row r="232" ht="19" customHeight="1">
      <x:c r="A232" s="11" t="str">
        <x:v>Available</x:v>
      </x:c>
      <x:c r="B232" s="12" t="n">
        <x:v>240.6</x:v>
      </x:c>
      <x:c r="C232" s="12" t="n">
        <x:f>ROUNDUP(B232/12,0)</x:f>
        <x:v>21</x:v>
      </x:c>
      <x:c r="D232" s="13" t="n">
        <x:v>235</x:v>
      </x:c>
      <x:c r="E232" s="12" t="n">
        <x:f>B232-D232</x:f>
        <x:v>5.599999999999994</x:v>
      </x:c>
      <x:c r="F232" s="13" t="n">
        <x:v>235</x:v>
      </x:c>
      <x:c r="G232" s="12" t="n">
        <x:f>B232-F232</x:f>
        <x:v>5.599999999999994</x:v>
      </x:c>
      <x:c r="H232" s="11" t="str">
        <x:v>Depth</x:v>
      </x:c>
      <x:c r="I232" s="11" t="str">
        <x:v>Jarquez Hunter</x:v>
      </x:c>
      <x:c r="J232" s="11" t="str">
        <x:v>RB</x:v>
      </x:c>
      <x:c r="K232" s="13" t="n">
        <x:v>72</x:v>
      </x:c>
      <x:c r="L232" s="13" t="str">
        <x:v>LAR</x:v>
      </x:c>
      <x:c r="M232" s="13" t="n">
        <x:v>11</x:v>
      </x:c>
      <x:c r="N232" s="12" t="n">
        <x:v>10</x:v>
      </x:c>
      <x:c r="O232" s="12" t="n">
        <x:v>10</x:v>
      </x:c>
      <x:c r="P232" s="12" t="n">
        <x:f>N232-O232</x:f>
        <x:v>0</x:v>
      </x:c>
      <x:c r="Q232" s="12" t="n">
        <x:v>10</x:v>
      </x:c>
      <x:c r="R232" s="12" t="n">
        <x:v>17</x:v>
      </x:c>
      <x:c r="S232" s="12" t="n">
        <x:v>-167.6</x:v>
      </x:c>
      <x:c r="T232" s="11" t="str">
        <x:v>Low</x:v>
      </x:c>
      <x:c r="U232" s="13" t="n">
        <x:v>7</x:v>
      </x:c>
      <x:c r="V232" s="13" t="n">
        <x:v>14</x:v>
      </x:c>
      <x:c r="W232" s="11"/>
      <x:c r="X232" s="11" t="str">
        <x:v>No reliable NFLverse player match; Sleeper only; team pass volume #7, rush volume #14</x:v>
      </x:c>
    </x:row>
    <x:row r="233" ht="19" customHeight="1">
      <x:c r="A233" s="11" t="str">
        <x:v>Available</x:v>
      </x:c>
      <x:c r="B233" s="12" t="n">
        <x:v>240.9</x:v>
      </x:c>
      <x:c r="C233" s="12" t="n">
        <x:f>ROUNDUP(B233/12,0)</x:f>
        <x:v>21</x:v>
      </x:c>
      <x:c r="D233" s="13" t="n">
        <x:v>206</x:v>
      </x:c>
      <x:c r="E233" s="12" t="n">
        <x:f>B233-D233</x:f>
        <x:v>34.900000000000006</x:v>
      </x:c>
      <x:c r="F233" s="13" t="n">
        <x:v>178</x:v>
      </x:c>
      <x:c r="G233" s="12" t="n">
        <x:f>B233-F233</x:f>
        <x:v>62.900000000000006</x:v>
      </x:c>
      <x:c r="H233" s="11" t="str">
        <x:v>Depth</x:v>
      </x:c>
      <x:c r="I233" s="11" t="str">
        <x:v>Chris Bell</x:v>
      </x:c>
      <x:c r="J233" s="11" t="str">
        <x:v>WR</x:v>
      </x:c>
      <x:c r="K233" s="13" t="n">
        <x:v>92</x:v>
      </x:c>
      <x:c r="L233" s="13" t="str">
        <x:v>MIA</x:v>
      </x:c>
      <x:c r="M233" s="13" t="n">
        <x:v>6</x:v>
      </x:c>
      <x:c r="N233" s="12" t="n">
        <x:v>115.5</x:v>
      </x:c>
      <x:c r="O233" s="12" t="n">
        <x:v>67</x:v>
      </x:c>
      <x:c r="P233" s="12" t="n">
        <x:f>N233-O233</x:f>
        <x:v>48.5</x:v>
      </x:c>
      <x:c r="Q233" s="12" t="n">
        <x:v>79.1</x:v>
      </x:c>
      <x:c r="R233" s="12" t="n">
        <x:v>9.3</x:v>
      </x:c>
      <x:c r="S233" s="12" t="n">
        <x:v>-56.2</x:v>
      </x:c>
      <x:c r="T233" s="11" t="str">
        <x:v>Low</x:v>
      </x:c>
      <x:c r="U233" s="13" t="n">
        <x:v>25</x:v>
      </x:c>
      <x:c r="V233" s="13" t="n">
        <x:v>24</x:v>
      </x:c>
      <x:c r="W233" s="11" t="str">
        <x:v>Ques</x:v>
      </x:c>
      <x:c r="X233" s="11" t="str">
        <x:v>Rookie model: pick 94, age and destination-team environment; team pass volume #25, rush volume #24</x:v>
      </x:c>
    </x:row>
    <x:row r="234" ht="19" customHeight="1">
      <x:c r="A234" s="11" t="str">
        <x:v>Available</x:v>
      </x:c>
      <x:c r="B234" s="12" t="n">
        <x:v>241.3</x:v>
      </x:c>
      <x:c r="C234" s="12" t="n">
        <x:f>ROUNDUP(B234/12,0)</x:f>
        <x:v>21</x:v>
      </x:c>
      <x:c r="D234" s="13" t="n">
        <x:v>175</x:v>
      </x:c>
      <x:c r="E234" s="12" t="n">
        <x:f>B234-D234</x:f>
        <x:v>66.30000000000001</x:v>
      </x:c>
      <x:c r="F234" s="13" t="n">
        <x:v>160</x:v>
      </x:c>
      <x:c r="G234" s="12" t="n">
        <x:f>B234-F234</x:f>
        <x:v>81.30000000000001</x:v>
      </x:c>
      <x:c r="H234" s="11" t="str">
        <x:v>Depth</x:v>
      </x:c>
      <x:c r="I234" s="11" t="str">
        <x:v>Kimani Vidal</x:v>
      </x:c>
      <x:c r="J234" s="11" t="str">
        <x:v>RB</x:v>
      </x:c>
      <x:c r="K234" s="13" t="n">
        <x:v>47</x:v>
      </x:c>
      <x:c r="L234" s="13" t="str">
        <x:v>LAC</x:v>
      </x:c>
      <x:c r="M234" s="13" t="n">
        <x:v>7</x:v>
      </x:c>
      <x:c r="N234" s="12" t="n">
        <x:v>140.2</x:v>
      </x:c>
      <x:c r="O234" s="12" t="n">
        <x:v>60</x:v>
      </x:c>
      <x:c r="P234" s="12" t="n">
        <x:f>N234-O234</x:f>
        <x:v>80.19999999999999</x:v>
      </x:c>
      <x:c r="Q234" s="12" t="n">
        <x:v>112.1</x:v>
      </x:c>
      <x:c r="R234" s="12" t="n">
        <x:v>11.1</x:v>
      </x:c>
      <x:c r="S234" s="12" t="n">
        <x:v>-42.8</x:v>
      </x:c>
      <x:c r="T234" s="11" t="str">
        <x:v>High</x:v>
      </x:c>
      <x:c r="U234" s="13" t="n">
        <x:v>14</x:v>
      </x:c>
      <x:c r="V234" s="13" t="n">
        <x:v>16</x:v>
      </x:c>
      <x:c r="W234" s="11"/>
      <x:c r="X234" s="11" t="str">
        <x:v>Veteran model: 2025 form, prior-year trend and same team pass/run forecast; team pass volume #14, rush volume #16</x:v>
      </x:c>
    </x:row>
    <x:row r="235" ht="19" customHeight="1">
      <x:c r="A235" s="11" t="str">
        <x:v>Available</x:v>
      </x:c>
      <x:c r="B235" s="12" t="n">
        <x:v>241.4</x:v>
      </x:c>
      <x:c r="C235" s="12" t="n">
        <x:f>ROUNDUP(B235/12,0)</x:f>
        <x:v>21</x:v>
      </x:c>
      <x:c r="D235" s="13" t="n">
        <x:v>183</x:v>
      </x:c>
      <x:c r="E235" s="12" t="n">
        <x:f>B235-D235</x:f>
        <x:v>58.400000000000006</x:v>
      </x:c>
      <x:c r="F235" s="13" t="n">
        <x:v>209</x:v>
      </x:c>
      <x:c r="G235" s="12" t="n">
        <x:f>B235-F235</x:f>
        <x:v>32.400000000000006</x:v>
      </x:c>
      <x:c r="H235" s="11" t="str">
        <x:v>Depth</x:v>
      </x:c>
      <x:c r="I235" s="11" t="str">
        <x:v>Jake Tonges</x:v>
      </x:c>
      <x:c r="J235" s="11" t="str">
        <x:v>TE</x:v>
      </x:c>
      <x:c r="K235" s="13" t="n">
        <x:v>34</x:v>
      </x:c>
      <x:c r="L235" s="13" t="str">
        <x:v>SF</x:v>
      </x:c>
      <x:c r="M235" s="13" t="n">
        <x:v>8</x:v>
      </x:c>
      <x:c r="N235" s="12" t="n">
        <x:v>82.7</x:v>
      </x:c>
      <x:c r="O235" s="12" t="n">
        <x:v>71</x:v>
      </x:c>
      <x:c r="P235" s="12" t="n">
        <x:f>N235-O235</x:f>
        <x:v>11.700000000000003</x:v>
      </x:c>
      <x:c r="Q235" s="12" t="n">
        <x:v>76.9</x:v>
      </x:c>
      <x:c r="R235" s="12" t="n">
        <x:v>10.3</x:v>
      </x:c>
      <x:c r="S235" s="12" t="n">
        <x:v>-46.2</x:v>
      </x:c>
      <x:c r="T235" s="11" t="str">
        <x:v>Medium</x:v>
      </x:c>
      <x:c r="U235" s="13" t="n">
        <x:v>16</x:v>
      </x:c>
      <x:c r="V235" s="13" t="n">
        <x:v>9</x:v>
      </x:c>
      <x:c r="W235" s="11"/>
      <x:c r="X235" s="11" t="str">
        <x:v>Veteran model: 2025 form, prior-year trend and same team pass/run forecast; team pass volume #16, rush volume #9</x:v>
      </x:c>
    </x:row>
    <x:row r="236" ht="19" customHeight="1">
      <x:c r="A236" s="11" t="str">
        <x:v>Available</x:v>
      </x:c>
      <x:c r="B236" s="12" t="n">
        <x:v>241.5</x:v>
      </x:c>
      <x:c r="C236" s="12" t="n">
        <x:f>ROUNDUP(B236/12,0)</x:f>
        <x:v>21</x:v>
      </x:c>
      <x:c r="D236" s="13" t="n">
        <x:v>210</x:v>
      </x:c>
      <x:c r="E236" s="12" t="n">
        <x:f>B236-D236</x:f>
        <x:v>31.5</x:v>
      </x:c>
      <x:c r="F236" s="13" t="n">
        <x:v>162</x:v>
      </x:c>
      <x:c r="G236" s="12" t="n">
        <x:f>B236-F236</x:f>
        <x:v>79.5</x:v>
      </x:c>
      <x:c r="H236" s="11" t="str">
        <x:v>Depth</x:v>
      </x:c>
      <x:c r="I236" s="11" t="str">
        <x:v>Elic Ayomanor</x:v>
      </x:c>
      <x:c r="J236" s="11" t="str">
        <x:v>WR</x:v>
      </x:c>
      <x:c r="K236" s="13" t="n">
        <x:v>84</x:v>
      </x:c>
      <x:c r="L236" s="13" t="str">
        <x:v>TEN</x:v>
      </x:c>
      <x:c r="M236" s="13" t="n">
        <x:v>9</x:v>
      </x:c>
      <x:c r="N236" s="12" t="n">
        <x:v>140.4</x:v>
      </x:c>
      <x:c r="O236" s="12" t="n">
        <x:v>57</x:v>
      </x:c>
      <x:c r="P236" s="12" t="n">
        <x:f>N236-O236</x:f>
        <x:v>83.4</x:v>
      </x:c>
      <x:c r="Q236" s="12" t="n">
        <x:v>98.7</x:v>
      </x:c>
      <x:c r="R236" s="12" t="n">
        <x:v>12</x:v>
      </x:c>
      <x:c r="S236" s="12" t="n">
        <x:v>-58.7</x:v>
      </x:c>
      <x:c r="T236" s="11" t="str">
        <x:v>Medium</x:v>
      </x:c>
      <x:c r="U236" s="13" t="n">
        <x:v>18</x:v>
      </x:c>
      <x:c r="V236" s="13" t="n">
        <x:v>30</x:v>
      </x:c>
      <x:c r="W236" s="11"/>
      <x:c r="X236" s="11" t="str">
        <x:v>Veteran model: 2025 form, prior-year trend and same team pass/run forecast; team pass volume #18, rush volume #30</x:v>
      </x:c>
    </x:row>
    <x:row r="237" ht="19" customHeight="1">
      <x:c r="A237" s="11" t="str">
        <x:v>Available</x:v>
      </x:c>
      <x:c r="B237" s="12" t="n">
        <x:v>241.7</x:v>
      </x:c>
      <x:c r="C237" s="12" t="n">
        <x:f>ROUNDUP(B237/12,0)</x:f>
        <x:v>21</x:v>
      </x:c>
      <x:c r="D237" s="13" t="n">
        <x:v>221</x:v>
      </x:c>
      <x:c r="E237" s="12" t="n">
        <x:f>B237-D237</x:f>
        <x:v>20.69999999999999</x:v>
      </x:c>
      <x:c r="F237" s="13" t="n">
        <x:v>222</x:v>
      </x:c>
      <x:c r="G237" s="12" t="n">
        <x:f>B237-F237</x:f>
        <x:v>19.69999999999999</x:v>
      </x:c>
      <x:c r="H237" s="11" t="str">
        <x:v>Depth</x:v>
      </x:c>
      <x:c r="I237" s="11" t="str">
        <x:v>Christian Kirk</x:v>
      </x:c>
      <x:c r="J237" s="11" t="str">
        <x:v>WR</x:v>
      </x:c>
      <x:c r="K237" s="13" t="n">
        <x:v>95</x:v>
      </x:c>
      <x:c r="L237" s="13" t="str">
        <x:v>SF</x:v>
      </x:c>
      <x:c r="M237" s="13" t="n">
        <x:v>8</x:v>
      </x:c>
      <x:c r="N237" s="12" t="n">
        <x:v>81.3</x:v>
      </x:c>
      <x:c r="O237" s="12" t="n">
        <x:v>46</x:v>
      </x:c>
      <x:c r="P237" s="12" t="n">
        <x:f>N237-O237</x:f>
        <x:v>35.3</x:v>
      </x:c>
      <x:c r="Q237" s="12" t="n">
        <x:v>63.7</x:v>
      </x:c>
      <x:c r="R237" s="12" t="n">
        <x:v>9.1</x:v>
      </x:c>
      <x:c r="S237" s="12" t="n">
        <x:v>-63.2</x:v>
      </x:c>
      <x:c r="T237" s="11" t="str">
        <x:v>Medium</x:v>
      </x:c>
      <x:c r="U237" s="13" t="n">
        <x:v>16</x:v>
      </x:c>
      <x:c r="V237" s="13" t="n">
        <x:v>9</x:v>
      </x:c>
      <x:c r="W237" s="11" t="str">
        <x:v>Ques</x:v>
      </x:c>
      <x:c r="X237" s="11" t="str">
        <x:v>Veteran model: 2025 form, prior-year trend and new team pass/run forecast; team pass volume #16, rush volume #9</x:v>
      </x:c>
    </x:row>
    <x:row r="238" ht="19" customHeight="1">
      <x:c r="A238" s="11" t="str">
        <x:v>Available</x:v>
      </x:c>
      <x:c r="B238" s="12" t="n">
        <x:v>241.8</x:v>
      </x:c>
      <x:c r="C238" s="12" t="n">
        <x:f>ROUNDUP(B238/12,0)</x:f>
        <x:v>21</x:v>
      </x:c>
      <x:c r="D238" s="13" t="n">
        <x:v>179</x:v>
      </x:c>
      <x:c r="E238" s="12" t="n">
        <x:f>B238-D238</x:f>
        <x:v>62.80000000000001</x:v>
      </x:c>
      <x:c r="F238" s="13" t="n">
        <x:v>133</x:v>
      </x:c>
      <x:c r="G238" s="12" t="n">
        <x:f>B238-F238</x:f>
        <x:v>108.80000000000001</x:v>
      </x:c>
      <x:c r="H238" s="11" t="str">
        <x:v>Depth</x:v>
      </x:c>
      <x:c r="I238" s="11" t="str">
        <x:v>Troy Franklin</x:v>
      </x:c>
      <x:c r="J238" s="11" t="str">
        <x:v>WR</x:v>
      </x:c>
      <x:c r="K238" s="13" t="n">
        <x:v>67</x:v>
      </x:c>
      <x:c r="L238" s="13" t="str">
        <x:v>DEN</x:v>
      </x:c>
      <x:c r="M238" s="13" t="n">
        <x:v>10</x:v>
      </x:c>
      <x:c r="N238" s="12" t="n">
        <x:v>158.3</x:v>
      </x:c>
      <x:c r="O238" s="12" t="n">
        <x:v>66</x:v>
      </x:c>
      <x:c r="P238" s="12" t="n">
        <x:f>N238-O238</x:f>
        <x:v>92.30000000000001</x:v>
      </x:c>
      <x:c r="Q238" s="12" t="n">
        <x:v>126</x:v>
      </x:c>
      <x:c r="R238" s="12" t="n">
        <x:v>13.7</x:v>
      </x:c>
      <x:c r="S238" s="12" t="n">
        <x:v>-45</x:v>
      </x:c>
      <x:c r="T238" s="11" t="str">
        <x:v>High</x:v>
      </x:c>
      <x:c r="U238" s="13" t="n">
        <x:v>6</x:v>
      </x:c>
      <x:c r="V238" s="13" t="n">
        <x:v>19</x:v>
      </x:c>
      <x:c r="W238" s="11"/>
      <x:c r="X238" s="11" t="str">
        <x:v>Veteran model: 2025 form, prior-year trend and same team pass/run forecast; team pass volume #6, rush volume #19</x:v>
      </x:c>
    </x:row>
    <x:row r="239" ht="19" customHeight="1">
      <x:c r="A239" s="11" t="str">
        <x:v>Available</x:v>
      </x:c>
      <x:c r="B239" s="12" t="n">
        <x:v>241.8</x:v>
      </x:c>
      <x:c r="C239" s="12" t="n">
        <x:f>ROUNDUP(B239/12,0)</x:f>
        <x:v>21</x:v>
      </x:c>
      <x:c r="D239" s="13" t="n">
        <x:v>230</x:v>
      </x:c>
      <x:c r="E239" s="12" t="n">
        <x:f>B239-D239</x:f>
        <x:v>11.800000000000011</x:v>
      </x:c>
      <x:c r="F239" s="13" t="n">
        <x:v>132</x:v>
      </x:c>
      <x:c r="G239" s="12" t="n">
        <x:f>B239-F239</x:f>
        <x:v>109.80000000000001</x:v>
      </x:c>
      <x:c r="H239" s="11" t="str">
        <x:v>Depth</x:v>
      </x:c>
      <x:c r="I239" s="11" t="str">
        <x:v>Ty Simpson</x:v>
      </x:c>
      <x:c r="J239" s="11" t="str">
        <x:v>QB</x:v>
      </x:c>
      <x:c r="K239" s="13" t="n">
        <x:v>33</x:v>
      </x:c>
      <x:c r="L239" s="13" t="str">
        <x:v>LAR</x:v>
      </x:c>
      <x:c r="M239" s="13" t="n">
        <x:v>11</x:v>
      </x:c>
      <x:c r="N239" s="12" t="n">
        <x:v>235.2</x:v>
      </x:c>
      <x:c r="O239" s="12" t="n">
        <x:v>14</x:v>
      </x:c>
      <x:c r="P239" s="12" t="n">
        <x:f>N239-O239</x:f>
        <x:v>221.2</x:v>
      </x:c>
      <x:c r="Q239" s="12" t="n">
        <x:v>69.3</x:v>
      </x:c>
      <x:c r="R239" s="12" t="n">
        <x:v>6.2</x:v>
      </x:c>
      <x:c r="S239" s="12" t="n">
        <x:v>-79.1</x:v>
      </x:c>
      <x:c r="T239" s="11" t="str">
        <x:v>Low</x:v>
      </x:c>
      <x:c r="U239" s="13" t="n">
        <x:v>7</x:v>
      </x:c>
      <x:c r="V239" s="13" t="n">
        <x:v>14</x:v>
      </x:c>
      <x:c r="W239" s="11"/>
      <x:c r="X239" s="11" t="str">
        <x:v>Rookie model: pick 13, age and destination-team environment; team pass volume #7, rush volume #14</x:v>
      </x:c>
    </x:row>
    <x:row r="240" ht="19" customHeight="1">
      <x:c r="A240" s="11" t="str">
        <x:v>Available</x:v>
      </x:c>
      <x:c r="B240" s="12" t="n">
        <x:v>242</x:v>
      </x:c>
      <x:c r="C240" s="12" t="n">
        <x:f>ROUNDUP(B240/12,0)</x:f>
        <x:v>21</x:v>
      </x:c>
      <x:c r="D240" s="13" t="n">
        <x:v>222</x:v>
      </x:c>
      <x:c r="E240" s="12" t="n">
        <x:f>B240-D240</x:f>
        <x:v>20</x:v>
      </x:c>
      <x:c r="F240" s="13" t="n">
        <x:v>204</x:v>
      </x:c>
      <x:c r="G240" s="12" t="n">
        <x:f>B240-F240</x:f>
        <x:v>38</x:v>
      </x:c>
      <x:c r="H240" s="11" t="str">
        <x:v>Depth</x:v>
      </x:c>
      <x:c r="I240" s="11" t="str">
        <x:v>Demond Claiborne</x:v>
      </x:c>
      <x:c r="J240" s="11" t="str">
        <x:v>RB</x:v>
      </x:c>
      <x:c r="K240" s="13" t="n">
        <x:v>71</x:v>
      </x:c>
      <x:c r="L240" s="13" t="str">
        <x:v>MIN</x:v>
      </x:c>
      <x:c r="M240" s="13" t="n">
        <x:v>6</x:v>
      </x:c>
      <x:c r="N240" s="12" t="n">
        <x:v>82</x:v>
      </x:c>
      <x:c r="O240" s="12" t="n">
        <x:v>25</x:v>
      </x:c>
      <x:c r="P240" s="12" t="n">
        <x:f>N240-O240</x:f>
        <x:v>57</x:v>
      </x:c>
      <x:c r="Q240" s="12" t="n">
        <x:v>39.2</x:v>
      </x:c>
      <x:c r="R240" s="12" t="n">
        <x:v>7.8</x:v>
      </x:c>
      <x:c r="S240" s="12" t="n">
        <x:v>-63.5</x:v>
      </x:c>
      <x:c r="T240" s="11" t="str">
        <x:v>Low</x:v>
      </x:c>
      <x:c r="U240" s="13" t="n">
        <x:v>26</x:v>
      </x:c>
      <x:c r="V240" s="13" t="n">
        <x:v>27</x:v>
      </x:c>
      <x:c r="W240" s="11"/>
      <x:c r="X240" s="11" t="str">
        <x:v>Rookie model: pick 198, age and destination-team environment; team pass volume #26, rush volume #27</x:v>
      </x:c>
    </x:row>
  </x:sheetData>
  <x:mergeCells>
    <x:mergeCell ref="A1:X1"/>
    <x:mergeCell ref="A2:X2"/>
    <x:mergeCell ref="A3:X3"/>
  </x:mergeCells>
  <x:conditionalFormatting sqref="A6:X240">
    <x:cfRule type="expression" dxfId="0" priority="1">
      <x:formula>$A6="Taken"</x:formula>
    </x:cfRule>
    <x:cfRule type="expression" dxfId="1" priority="2">
      <x:formula>$A6="Mine"</x:formula>
    </x:cfRule>
  </x:conditionalFormatting>
  <x:conditionalFormatting sqref="E6:G240">
    <x:cfRule type="colorScale" priority="3">
      <x:colorScale>
        <x:cfvo type="min"/>
        <x:cfvo type="percentile" val="50"/>
        <x:cfvo type="max"/>
        <x:color rgb="FFE67C73"/>
        <x:color rgb="FFFFF0C2"/>
        <x:color rgb="FF63BE7B"/>
      </x:colorScale>
    </x:cfRule>
  </x:conditionalFormatting>
  <x:conditionalFormatting sqref="P6:P240">
    <x:cfRule type="colorScale" priority="4">
      <x:colorScale>
        <x:cfvo type="min"/>
        <x:cfvo type="percentile" val="50"/>
        <x:cfvo type="max"/>
        <x:color rgb="FFE67C73"/>
        <x:color rgb="FFFFF0C2"/>
        <x:color rgb="FF63BE7B"/>
      </x:colorScale>
    </x:cfRule>
  </x:conditionalFormatting>
  <x:conditionalFormatting sqref="S6:S240">
    <x:cfRule type="dataBar" priority="5">
      <x:dataBar>
        <x:cfvo type="min"/>
        <x:cfvo type="max"/>
        <x:color rgb="FF4B7BEC"/>
      </x:dataBar>
      <x:extLst>
        <x:ext xmlns:x14="http://schemas.microsoft.com/office/spreadsheetml/2009/9/main" uri="{B025F937-C7B1-47D3-B67F-A62EFF666E3E}">
          <x14:id>{877C671F-EE53-902A-5A11-D4A745F8253C}</x14:id>
        </x:ext>
      </x:extLst>
    </x:cfRule>
  </x:conditionalFormatting>
  <x:conditionalFormatting sqref="H6:H240">
    <x:cfRule type="containsText" dxfId="2" priority="6" operator="containsText" text="Target"/>
    <x:cfRule type="containsText" dxfId="3" priority="7" operator="containsText" text="Value"/>
    <x:cfRule type="containsText" dxfId="4" priority="8" operator="containsText" text="Fair"/>
    <x:cfRule type="containsText" dxfId="5" priority="9" operator="containsText" text="Slight reach"/>
    <x:cfRule type="containsText" dxfId="6" priority="10" operator="containsText" text="Pricey"/>
    <x:cfRule type="containsText" dxfId="7" priority="11" operator="containsText" text="Depth"/>
  </x:conditionalFormatting>
  <x:conditionalFormatting sqref="J6:J240">
    <x:cfRule type="containsText" dxfId="8" priority="12" operator="containsText" text="QB"/>
    <x:cfRule type="containsText" dxfId="9" priority="13" operator="containsText" text="RB"/>
    <x:cfRule type="containsText" dxfId="10" priority="14" operator="containsText" text="WR"/>
    <x:cfRule type="containsText" dxfId="11" priority="15" operator="containsText" text="TE"/>
    <x:cfRule type="containsText" dxfId="12" priority="16" operator="containsText" text="K"/>
    <x:cfRule type="containsText" dxfId="13" priority="17" operator="containsText" text="DEF"/>
  </x:conditionalFormatting>
  <x:conditionalFormatting sqref="T6:T240">
    <x:cfRule type="containsText" dxfId="14" priority="18" operator="containsText" text="High"/>
    <x:cfRule type="containsText" dxfId="15" priority="19" operator="containsText" text="Medium"/>
    <x:cfRule type="containsText" dxfId="16" priority="20" operator="containsText" text="Low"/>
  </x:conditionalFormatting>
  <x:conditionalFormatting sqref="W6:W240">
    <x:cfRule type="notContainsBlanks" dxfId="17" priority="21"/>
  </x:conditionalFormatting>
  <x:dataValidations count="1">
    <x:dataValidation type="list" sqref="A6:A240">
      <x:formula1>"Available,Taken,Mine"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cf59093ceb46c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877C671F-EE53-902A-5A11-D4A745F8253C}">
            <x14:dataBar gradient="1">
              <x14:cfvo type="min"/>
              <x14:cfvo type="max"/>
              <x14:fillColor rgb="FF4B7BEC"/>
            </x14:dataBar>
          </x14:cfRule>
          <xm:sqref>S6:S240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9" hidden="0" customWidth="1"/>
    <x:col min="4" max="4" width="24" hidden="0" customWidth="1"/>
    <x:col min="5" max="5" width="7" hidden="0" customWidth="1"/>
    <x:col min="6" max="6" width="8" hidden="0" customWidth="1"/>
    <x:col min="7" max="7" width="7" hidden="0" customWidth="1"/>
    <x:col min="8" max="8" width="10" hidden="0" customWidth="1"/>
    <x:col min="9" max="9" width="10" hidden="0" customWidth="1"/>
    <x:col min="10" max="10" width="10" hidden="0" customWidth="1"/>
    <x:col min="11" max="11" width="11" hidden="0" customWidth="1"/>
    <x:col min="12" max="12" width="8" hidden="0" customWidth="1"/>
    <x:col min="13" max="13" width="9" hidden="0" customWidth="1"/>
    <x:col min="14" max="14" width="11" hidden="0" customWidth="1"/>
    <x:col min="15" max="15" width="10" hidden="0" customWidth="1"/>
    <x:col min="16" max="16" width="10" hidden="0" customWidth="1"/>
    <x:col min="17" max="17" width="10" hidden="0" customWidth="1"/>
    <x:col min="18" max="18" width="52" hidden="0" customWidth="1"/>
  </x:cols>
  <x:sheetData>
    <x:row r="1" ht="32" customHeight="1">
      <x:c r="A1" s="3" t="str">
        <x:v>INDEPENDENT MODEL RANKINGS</x:v>
      </x:c>
    </x:row>
    <x:row r="2" ht="26" customHeight="1">
      <x:c r="A2" s="7" t="str">
        <x:v>No Sleeper projection or ADP is used in this forecast; low-confidence rookies remain deliberately visible</x:v>
      </x:c>
    </x:row>
    <x:row r="4" ht="25" customHeight="1">
      <x:c r="A4" s="11" t="str">
        <x:v>Rank</x:v>
      </x:c>
      <x:c r="B4" s="11" t="str">
        <x:v>ADP</x:v>
      </x:c>
      <x:c r="C4" s="11" t="str">
        <x:v>Gap</x:v>
      </x:c>
      <x:c r="D4" s="11" t="str">
        <x:v>Player</x:v>
      </x:c>
      <x:c r="E4" s="11" t="str">
        <x:v>Pos</x:v>
      </x:c>
      <x:c r="F4" s="11" t="str">
        <x:v>Team</x:v>
      </x:c>
      <x:c r="G4" s="11" t="str">
        <x:v>Bye</x:v>
      </x:c>
      <x:c r="H4" s="11" t="str">
        <x:v>Our 17G</x:v>
      </x:c>
      <x:c r="I4" s="11" t="str">
        <x:v>Sleeper</x:v>
      </x:c>
      <x:c r="J4" s="11" t="str">
        <x:v>Proj Gap</x:v>
      </x:c>
      <x:c r="K4" s="11" t="str">
        <x:v>Decision Pts</x:v>
      </x:c>
      <x:c r="L4" s="11" t="str">
        <x:v>Exp G</x:v>
      </x:c>
      <x:c r="M4" s="11" t="str">
        <x:v>VBD</x:v>
      </x:c>
      <x:c r="N4" s="11" t="str">
        <x:v>Confidence</x:v>
      </x:c>
      <x:c r="O4" s="11" t="str">
        <x:v>Pass Rank</x:v>
      </x:c>
      <x:c r="P4" s="11" t="str">
        <x:v>Rush Rank</x:v>
      </x:c>
      <x:c r="Q4" s="11" t="str">
        <x:v>Injury</x:v>
      </x:c>
      <x:c r="R4" s="11" t="str">
        <x:v>Why</x:v>
      </x:c>
    </x:row>
    <x:row r="5" ht="19" customHeight="1">
      <x:c r="A5" s="13" t="n">
        <x:v>1</x:v>
      </x:c>
      <x:c r="B5" s="12" t="n">
        <x:v>4.4</x:v>
      </x:c>
      <x:c r="C5" s="12" t="n">
        <x:f>B5-A5</x:f>
        <x:v>3.4000000000000004</x:v>
      </x:c>
      <x:c r="D5" s="11" t="str">
        <x:v>Puka Nacua</x:v>
      </x:c>
      <x:c r="E5" s="11" t="str">
        <x:v>WR</x:v>
      </x:c>
      <x:c r="F5" s="11" t="str">
        <x:v>LAR</x:v>
      </x:c>
      <x:c r="G5" s="13" t="n">
        <x:v>11</x:v>
      </x:c>
      <x:c r="H5" s="12" t="n">
        <x:v>341.2</x:v>
      </x:c>
      <x:c r="I5" s="12" t="n">
        <x:v>313</x:v>
      </x:c>
      <x:c r="J5" s="12" t="n">
        <x:v>28.2</x:v>
      </x:c>
      <x:c r="K5" s="12" t="n">
        <x:v>331.3</x:v>
      </x:c>
      <x:c r="L5" s="12" t="n">
        <x:v>16.2</x:v>
      </x:c>
      <x:c r="M5" s="12" t="n">
        <x:v>153.5</x:v>
      </x:c>
      <x:c r="N5" s="11" t="str">
        <x:v>High</x:v>
      </x:c>
      <x:c r="O5" s="13" t="n">
        <x:v>7</x:v>
      </x:c>
      <x:c r="P5" s="13" t="n">
        <x:v>14</x:v>
      </x:c>
      <x:c r="Q5" s="11" t="str">
        <x:v>Ques</x:v>
      </x:c>
      <x:c r="R5" s="11" t="str">
        <x:v>Veteran model: 2025 form, prior-year trend and same team pass/run forecast; team pass volume #7, rush volume #14</x:v>
      </x:c>
    </x:row>
    <x:row r="6" ht="19" customHeight="1">
      <x:c r="A6" s="13" t="n">
        <x:v>2</x:v>
      </x:c>
      <x:c r="B6" s="12" t="n">
        <x:v>6.1</x:v>
      </x:c>
      <x:c r="C6" s="12" t="n">
        <x:f>B6-A6</x:f>
        <x:v>4.1</x:v>
      </x:c>
      <x:c r="D6" s="11" t="str">
        <x:v>Jaxon Smith-Njigba</x:v>
      </x:c>
      <x:c r="E6" s="11" t="str">
        <x:v>WR</x:v>
      </x:c>
      <x:c r="F6" s="11" t="str">
        <x:v>SEA</x:v>
      </x:c>
      <x:c r="G6" s="13" t="n">
        <x:v>11</x:v>
      </x:c>
      <x:c r="H6" s="12" t="n">
        <x:v>335.5</x:v>
      </x:c>
      <x:c r="I6" s="12" t="n">
        <x:v>285</x:v>
      </x:c>
      <x:c r="J6" s="12" t="n">
        <x:v>50.5</x:v>
      </x:c>
      <x:c r="K6" s="12" t="n">
        <x:v>317.8</x:v>
      </x:c>
      <x:c r="L6" s="12" t="n">
        <x:v>16.2</x:v>
      </x:c>
      <x:c r="M6" s="12" t="n">
        <x:v>148.1</x:v>
      </x:c>
      <x:c r="N6" s="11" t="str">
        <x:v>High</x:v>
      </x:c>
      <x:c r="O6" s="13" t="n">
        <x:v>23</x:v>
      </x:c>
      <x:c r="P6" s="13" t="n">
        <x:v>21</x:v>
      </x:c>
      <x:c r="Q6" s="11"/>
      <x:c r="R6" s="11" t="str">
        <x:v>Veteran model: 2025 form, prior-year trend and same team pass/run forecast; team pass volume #23, rush volume #21</x:v>
      </x:c>
    </x:row>
    <x:row r="7" ht="19" customHeight="1">
      <x:c r="A7" s="13" t="n">
        <x:v>3</x:v>
      </x:c>
      <x:c r="B7" s="12" t="n">
        <x:v>2.6</x:v>
      </x:c>
      <x:c r="C7" s="12" t="n">
        <x:f>B7-A7</x:f>
        <x:v>-0.3999999999999999</x:v>
      </x:c>
      <x:c r="D7" s="11" t="str">
        <x:v>Bijan Robinson</x:v>
      </x:c>
      <x:c r="E7" s="11" t="str">
        <x:v>RB</x:v>
      </x:c>
      <x:c r="F7" s="11" t="str">
        <x:v>ATL</x:v>
      </x:c>
      <x:c r="G7" s="13" t="n">
        <x:v>11</x:v>
      </x:c>
      <x:c r="H7" s="12" t="n">
        <x:v>335.4</x:v>
      </x:c>
      <x:c r="I7" s="12" t="n">
        <x:v>325</x:v>
      </x:c>
      <x:c r="J7" s="12" t="n">
        <x:v>10.4</x:v>
      </x:c>
      <x:c r="K7" s="12" t="n">
        <x:v>331.7</x:v>
      </x:c>
      <x:c r="L7" s="12" t="n">
        <x:v>16</x:v>
      </x:c>
      <x:c r="M7" s="12" t="n">
        <x:v>145.2</x:v>
      </x:c>
      <x:c r="N7" s="11" t="str">
        <x:v>High</x:v>
      </x:c>
      <x:c r="O7" s="13" t="n">
        <x:v>17</x:v>
      </x:c>
      <x:c r="P7" s="13" t="n">
        <x:v>5</x:v>
      </x:c>
      <x:c r="Q7" s="11"/>
      <x:c r="R7" s="11" t="str">
        <x:v>Veteran model: 2025 form, prior-year trend and same team pass/run forecast; team pass volume #17, rush volume #5</x:v>
      </x:c>
    </x:row>
    <x:row r="8" ht="19" customHeight="1">
      <x:c r="A8" s="13" t="n">
        <x:v>4</x:v>
      </x:c>
      <x:c r="B8" s="12" t="n">
        <x:v>3.8</x:v>
      </x:c>
      <x:c r="C8" s="12" t="n">
        <x:f>B8-A8</x:f>
        <x:v>-0.20000000000000018</x:v>
      </x:c>
      <x:c r="D8" s="11" t="str">
        <x:v>Ja'Marr Chase</x:v>
      </x:c>
      <x:c r="E8" s="11" t="str">
        <x:v>WR</x:v>
      </x:c>
      <x:c r="F8" s="11" t="str">
        <x:v>CIN</x:v>
      </x:c>
      <x:c r="G8" s="13" t="n">
        <x:v>6</x:v>
      </x:c>
      <x:c r="H8" s="12" t="n">
        <x:v>327.5</x:v>
      </x:c>
      <x:c r="I8" s="12" t="n">
        <x:v>311</x:v>
      </x:c>
      <x:c r="J8" s="12" t="n">
        <x:v>16.5</x:v>
      </x:c>
      <x:c r="K8" s="12" t="n">
        <x:v>321.7</x:v>
      </x:c>
      <x:c r="L8" s="12" t="n">
        <x:v>15.2</x:v>
      </x:c>
      <x:c r="M8" s="12" t="n">
        <x:v>131.8</x:v>
      </x:c>
      <x:c r="N8" s="11" t="str">
        <x:v>High</x:v>
      </x:c>
      <x:c r="O8" s="13" t="n">
        <x:v>1</x:v>
      </x:c>
      <x:c r="P8" s="13" t="n">
        <x:v>31</x:v>
      </x:c>
      <x:c r="Q8" s="11"/>
      <x:c r="R8" s="11" t="str">
        <x:v>Veteran model: 2025 form, prior-year trend and same team pass/run forecast; team pass volume #1, rush volume #31</x:v>
      </x:c>
    </x:row>
    <x:row r="9" ht="19" customHeight="1">
      <x:c r="A9" s="13" t="n">
        <x:v>5</x:v>
      </x:c>
      <x:c r="B9" s="12" t="n">
        <x:v>1.1</x:v>
      </x:c>
      <x:c r="C9" s="12" t="n">
        <x:f>B9-A9</x:f>
        <x:v>-3.9</x:v>
      </x:c>
      <x:c r="D9" s="11" t="str">
        <x:v>Jahmyr Gibbs</x:v>
      </x:c>
      <x:c r="E9" s="11" t="str">
        <x:v>RB</x:v>
      </x:c>
      <x:c r="F9" s="11" t="str">
        <x:v>DET</x:v>
      </x:c>
      <x:c r="G9" s="13" t="n">
        <x:v>6</x:v>
      </x:c>
      <x:c r="H9" s="12" t="n">
        <x:v>312.1</x:v>
      </x:c>
      <x:c r="I9" s="12" t="n">
        <x:v>331</x:v>
      </x:c>
      <x:c r="J9" s="12" t="n">
        <x:v>-18.9</x:v>
      </x:c>
      <x:c r="K9" s="12" t="n">
        <x:v>318.7</x:v>
      </x:c>
      <x:c r="L9" s="12" t="n">
        <x:v>15.8</x:v>
      </x:c>
      <x:c r="M9" s="12" t="n">
        <x:v>121.8</x:v>
      </x:c>
      <x:c r="N9" s="11" t="str">
        <x:v>High</x:v>
      </x:c>
      <x:c r="O9" s="13" t="n">
        <x:v>10</x:v>
      </x:c>
      <x:c r="P9" s="13" t="n">
        <x:v>7</x:v>
      </x:c>
      <x:c r="Q9" s="11"/>
      <x:c r="R9" s="11" t="str">
        <x:v>Veteran model: 2025 form, prior-year trend and same team pass/run forecast; team pass volume #10, rush volume #7</x:v>
      </x:c>
    </x:row>
    <x:row r="10" ht="19" customHeight="1">
      <x:c r="A10" s="13" t="n">
        <x:v>6</x:v>
      </x:c>
      <x:c r="B10" s="12" t="n">
        <x:v>5.5</x:v>
      </x:c>
      <x:c r="C10" s="12" t="n">
        <x:f>B10-A10</x:f>
        <x:v>-0.5</x:v>
      </x:c>
      <x:c r="D10" s="11" t="str">
        <x:v>Christian McCaffrey</x:v>
      </x:c>
      <x:c r="E10" s="11" t="str">
        <x:v>RB</x:v>
      </x:c>
      <x:c r="F10" s="11" t="str">
        <x:v>SF</x:v>
      </x:c>
      <x:c r="G10" s="13" t="n">
        <x:v>8</x:v>
      </x:c>
      <x:c r="H10" s="12" t="n">
        <x:v>326</x:v>
      </x:c>
      <x:c r="I10" s="12" t="n">
        <x:v>291</x:v>
      </x:c>
      <x:c r="J10" s="12" t="n">
        <x:v>35</x:v>
      </x:c>
      <x:c r="K10" s="12" t="n">
        <x:v>313.7</x:v>
      </x:c>
      <x:c r="L10" s="12" t="n">
        <x:v>13.8</x:v>
      </x:c>
      <x:c r="M10" s="12" t="n">
        <x:v>117.6</x:v>
      </x:c>
      <x:c r="N10" s="11" t="str">
        <x:v>High</x:v>
      </x:c>
      <x:c r="O10" s="13" t="n">
        <x:v>16</x:v>
      </x:c>
      <x:c r="P10" s="13" t="n">
        <x:v>9</x:v>
      </x:c>
      <x:c r="Q10" s="11" t="str">
        <x:v>Ques</x:v>
      </x:c>
      <x:c r="R10" s="11" t="str">
        <x:v>Veteran model: 2025 form, prior-year trend and same team pass/run forecast; team pass volume #16, rush volume #9</x:v>
      </x:c>
    </x:row>
    <x:row r="11" ht="19" customHeight="1">
      <x:c r="A11" s="13" t="n">
        <x:v>7</x:v>
      </x:c>
      <x:c r="B11" s="12" t="n">
        <x:v>8.4</x:v>
      </x:c>
      <x:c r="C11" s="12" t="n">
        <x:f>B11-A11</x:f>
        <x:v>1.4000000000000004</x:v>
      </x:c>
      <x:c r="D11" s="11" t="str">
        <x:v>Amon-Ra St. Brown</x:v>
      </x:c>
      <x:c r="E11" s="11" t="str">
        <x:v>WR</x:v>
      </x:c>
      <x:c r="F11" s="11" t="str">
        <x:v>DET</x:v>
      </x:c>
      <x:c r="G11" s="13" t="n">
        <x:v>6</x:v>
      </x:c>
      <x:c r="H11" s="12" t="n">
        <x:v>296.5</x:v>
      </x:c>
      <x:c r="I11" s="12" t="n">
        <x:v>281</x:v>
      </x:c>
      <x:c r="J11" s="12" t="n">
        <x:v>15.5</x:v>
      </x:c>
      <x:c r="K11" s="12" t="n">
        <x:v>291.1</x:v>
      </x:c>
      <x:c r="L11" s="12" t="n">
        <x:v>16</x:v>
      </x:c>
      <x:c r="M11" s="12" t="n">
        <x:v>109.6</x:v>
      </x:c>
      <x:c r="N11" s="11" t="str">
        <x:v>High</x:v>
      </x:c>
      <x:c r="O11" s="13" t="n">
        <x:v>10</x:v>
      </x:c>
      <x:c r="P11" s="13" t="n">
        <x:v>7</x:v>
      </x:c>
      <x:c r="Q11" s="11"/>
      <x:c r="R11" s="11" t="str">
        <x:v>Veteran model: 2025 form, prior-year trend and same team pass/run forecast; team pass volume #10, rush volume #7</x:v>
      </x:c>
    </x:row>
    <x:row r="12" ht="19" customHeight="1">
      <x:c r="A12" s="13" t="n">
        <x:v>8</x:v>
      </x:c>
      <x:c r="B12" s="12" t="n">
        <x:v>26.8</x:v>
      </x:c>
      <x:c r="C12" s="12" t="n">
        <x:f>B12-A12</x:f>
        <x:v>18.8</x:v>
      </x:c>
      <x:c r="D12" s="11" t="str">
        <x:v>Jeremiyah Love</x:v>
      </x:c>
      <x:c r="E12" s="11" t="str">
        <x:v>RB</x:v>
      </x:c>
      <x:c r="F12" s="11" t="str">
        <x:v>ARI</x:v>
      </x:c>
      <x:c r="G12" s="13" t="n">
        <x:v>14</x:v>
      </x:c>
      <x:c r="H12" s="12" t="n">
        <x:v>284.8</x:v>
      </x:c>
      <x:c r="I12" s="12" t="n">
        <x:v>212</x:v>
      </x:c>
      <x:c r="J12" s="12" t="n">
        <x:v>72.8</x:v>
      </x:c>
      <x:c r="K12" s="12" t="n">
        <x:v>230.2</x:v>
      </x:c>
      <x:c r="L12" s="12" t="n">
        <x:v>17</x:v>
      </x:c>
      <x:c r="M12" s="12" t="n">
        <x:v>103.7</x:v>
      </x:c>
      <x:c r="N12" s="11" t="str">
        <x:v>Low</x:v>
      </x:c>
      <x:c r="O12" s="13" t="n">
        <x:v>3</x:v>
      </x:c>
      <x:c r="P12" s="13" t="n">
        <x:v>29</x:v>
      </x:c>
      <x:c r="Q12" s="11" t="str">
        <x:v>Ques</x:v>
      </x:c>
      <x:c r="R12" s="11" t="str">
        <x:v>Rookie model: pick 3, age and destination-team environment; team pass volume #3, rush volume #29</x:v>
      </x:c>
    </x:row>
    <x:row r="13" ht="19" customHeight="1">
      <x:c r="A13" s="13" t="n">
        <x:v>9</x:v>
      </x:c>
      <x:c r="B13" s="12" t="n">
        <x:v>12</x:v>
      </x:c>
      <x:c r="C13" s="12" t="n">
        <x:f>B13-A13</x:f>
        <x:v>3</x:v>
      </x:c>
      <x:c r="D13" s="11" t="str">
        <x:v>De'Von Achane</x:v>
      </x:c>
      <x:c r="E13" s="11" t="str">
        <x:v>RB</x:v>
      </x:c>
      <x:c r="F13" s="11" t="str">
        <x:v>MIA</x:v>
      </x:c>
      <x:c r="G13" s="13" t="n">
        <x:v>6</x:v>
      </x:c>
      <x:c r="H13" s="12" t="n">
        <x:v>281.8</x:v>
      </x:c>
      <x:c r="I13" s="12" t="n">
        <x:v>257</x:v>
      </x:c>
      <x:c r="J13" s="12" t="n">
        <x:v>24.8</x:v>
      </x:c>
      <x:c r="K13" s="12" t="n">
        <x:v>273.1</x:v>
      </x:c>
      <x:c r="L13" s="12" t="n">
        <x:v>15.7</x:v>
      </x:c>
      <x:c r="M13" s="12" t="n">
        <x:v>93</x:v>
      </x:c>
      <x:c r="N13" s="11" t="str">
        <x:v>High</x:v>
      </x:c>
      <x:c r="O13" s="13" t="n">
        <x:v>25</x:v>
      </x:c>
      <x:c r="P13" s="13" t="n">
        <x:v>24</x:v>
      </x:c>
      <x:c r="Q13" s="11"/>
      <x:c r="R13" s="11" t="str">
        <x:v>Veteran model: 2025 form, prior-year trend and same team pass/run forecast; team pass volume #25, rush volume #24</x:v>
      </x:c>
    </x:row>
    <x:row r="14" ht="19" customHeight="1">
      <x:c r="A14" s="13" t="n">
        <x:v>10</x:v>
      </x:c>
      <x:c r="B14" s="12" t="n">
        <x:v>6.1</x:v>
      </x:c>
      <x:c r="C14" s="12" t="n">
        <x:f>B14-A14</x:f>
        <x:v>-3.9000000000000004</x:v>
      </x:c>
      <x:c r="D14" s="11" t="str">
        <x:v>Jonathan Taylor</x:v>
      </x:c>
      <x:c r="E14" s="11" t="str">
        <x:v>RB</x:v>
      </x:c>
      <x:c r="F14" s="11" t="str">
        <x:v>IND</x:v>
      </x:c>
      <x:c r="G14" s="13" t="n">
        <x:v>13</x:v>
      </x:c>
      <x:c r="H14" s="12" t="n">
        <x:v>280.3</x:v>
      </x:c>
      <x:c r="I14" s="12" t="n">
        <x:v>272</x:v>
      </x:c>
      <x:c r="J14" s="12" t="n">
        <x:v>8.3</x:v>
      </x:c>
      <x:c r="K14" s="12" t="n">
        <x:v>277.4</x:v>
      </x:c>
      <x:c r="L14" s="12" t="n">
        <x:v>14.5</x:v>
      </x:c>
      <x:c r="M14" s="12" t="n">
        <x:v>84.6</x:v>
      </x:c>
      <x:c r="N14" s="11" t="str">
        <x:v>High</x:v>
      </x:c>
      <x:c r="O14" s="13" t="n">
        <x:v>21</x:v>
      </x:c>
      <x:c r="P14" s="13" t="n">
        <x:v>13</x:v>
      </x:c>
      <x:c r="Q14" s="11"/>
      <x:c r="R14" s="11" t="str">
        <x:v>Veteran model: 2025 form, prior-year trend and same team pass/run forecast; team pass volume #21, rush volume #13</x:v>
      </x:c>
    </x:row>
    <x:row r="15" ht="19" customHeight="1">
      <x:c r="A15" s="13" t="n">
        <x:v>11</x:v>
      </x:c>
      <x:c r="B15" s="12" t="n">
        <x:v>20.1</x:v>
      </x:c>
      <x:c r="C15" s="12" t="n">
        <x:f>B15-A15</x:f>
        <x:v>9.100000000000001</x:v>
      </x:c>
      <x:c r="D15" s="11" t="str">
        <x:v>Trey McBride</x:v>
      </x:c>
      <x:c r="E15" s="11" t="str">
        <x:v>TE</x:v>
      </x:c>
      <x:c r="F15" s="11" t="str">
        <x:v>ARI</x:v>
      </x:c>
      <x:c r="G15" s="13" t="n">
        <x:v>14</x:v>
      </x:c>
      <x:c r="H15" s="12" t="n">
        <x:v>238.6</x:v>
      </x:c>
      <x:c r="I15" s="12" t="n">
        <x:v>235</x:v>
      </x:c>
      <x:c r="J15" s="12" t="n">
        <x:v>3.6</x:v>
      </x:c>
      <x:c r="K15" s="12" t="n">
        <x:v>237.3</x:v>
      </x:c>
      <x:c r="L15" s="12" t="n">
        <x:v>16.2</x:v>
      </x:c>
      <x:c r="M15" s="12" t="n">
        <x:v>75.9</x:v>
      </x:c>
      <x:c r="N15" s="11" t="str">
        <x:v>High</x:v>
      </x:c>
      <x:c r="O15" s="13" t="n">
        <x:v>3</x:v>
      </x:c>
      <x:c r="P15" s="13" t="n">
        <x:v>29</x:v>
      </x:c>
      <x:c r="Q15" s="11"/>
      <x:c r="R15" s="11" t="str">
        <x:v>Veteran model: 2025 form, prior-year trend and same team pass/run forecast; team pass volume #3, rush volume #29</x:v>
      </x:c>
    </x:row>
    <x:row r="16" ht="19" customHeight="1">
      <x:c r="A16" s="13" t="n">
        <x:v>12</x:v>
      </x:c>
      <x:c r="B16" s="12" t="n">
        <x:v>23.3</x:v>
      </x:c>
      <x:c r="C16" s="12" t="n">
        <x:f>B16-A16</x:f>
        <x:v>11.3</x:v>
      </x:c>
      <x:c r="D16" s="11" t="str">
        <x:v>George Pickens</x:v>
      </x:c>
      <x:c r="E16" s="11" t="str">
        <x:v>WR</x:v>
      </x:c>
      <x:c r="F16" s="11" t="str">
        <x:v>DAL</x:v>
      </x:c>
      <x:c r="G16" s="13" t="n">
        <x:v>14</x:v>
      </x:c>
      <x:c r="H16" s="12" t="n">
        <x:v>261.3</x:v>
      </x:c>
      <x:c r="I16" s="12" t="n">
        <x:v>246</x:v>
      </x:c>
      <x:c r="J16" s="12" t="n">
        <x:v>15.3</x:v>
      </x:c>
      <x:c r="K16" s="12" t="n">
        <x:v>255.9</x:v>
      </x:c>
      <x:c r="L16" s="12" t="n">
        <x:v>14.6</x:v>
      </x:c>
      <x:c r="M16" s="12" t="n">
        <x:v>69.7</x:v>
      </x:c>
      <x:c r="N16" s="11" t="str">
        <x:v>High</x:v>
      </x:c>
      <x:c r="O16" s="13" t="n">
        <x:v>2</x:v>
      </x:c>
      <x:c r="P16" s="13" t="n">
        <x:v>20</x:v>
      </x:c>
      <x:c r="Q16" s="11"/>
      <x:c r="R16" s="11" t="str">
        <x:v>Veteran model: 2025 form, prior-year trend and same team pass/run forecast; team pass volume #2, rush volume #20</x:v>
      </x:c>
    </x:row>
    <x:row r="17" ht="19" customHeight="1">
      <x:c r="A17" s="13" t="n">
        <x:v>13</x:v>
      </x:c>
      <x:c r="B17" s="12" t="n">
        <x:v>16.1</x:v>
      </x:c>
      <x:c r="C17" s="12" t="n">
        <x:f>B17-A17</x:f>
        <x:v>3.1000000000000014</x:v>
      </x:c>
      <x:c r="D17" s="11" t="str">
        <x:v>Drake London</x:v>
      </x:c>
      <x:c r="E17" s="11" t="str">
        <x:v>WR</x:v>
      </x:c>
      <x:c r="F17" s="11" t="str">
        <x:v>ATL</x:v>
      </x:c>
      <x:c r="G17" s="13" t="n">
        <x:v>11</x:v>
      </x:c>
      <x:c r="H17" s="12" t="n">
        <x:v>266</x:v>
      </x:c>
      <x:c r="I17" s="12" t="n">
        <x:v>250</x:v>
      </x:c>
      <x:c r="J17" s="12" t="n">
        <x:v>16</x:v>
      </x:c>
      <x:c r="K17" s="12" t="n">
        <x:v>260.4</x:v>
      </x:c>
      <x:c r="L17" s="12" t="n">
        <x:v>13.5</x:v>
      </x:c>
      <x:c r="M17" s="12" t="n">
        <x:v>68.2</x:v>
      </x:c>
      <x:c r="N17" s="11" t="str">
        <x:v>High</x:v>
      </x:c>
      <x:c r="O17" s="13" t="n">
        <x:v>17</x:v>
      </x:c>
      <x:c r="P17" s="13" t="n">
        <x:v>5</x:v>
      </x:c>
      <x:c r="Q17" s="11"/>
      <x:c r="R17" s="11" t="str">
        <x:v>Veteran model: 2025 form, prior-year trend and same team pass/run forecast; team pass volume #17, rush volume #5</x:v>
      </x:c>
    </x:row>
    <x:row r="18" ht="19" customHeight="1">
      <x:c r="A18" s="13" t="n">
        <x:v>14</x:v>
      </x:c>
      <x:c r="B18" s="12" t="n">
        <x:v>30.3</x:v>
      </x:c>
      <x:c r="C18" s="12" t="n">
        <x:f>B18-A18</x:f>
        <x:v>16.3</x:v>
      </x:c>
      <x:c r="D18" s="11" t="str">
        <x:v>Chris Olave</x:v>
      </x:c>
      <x:c r="E18" s="11" t="str">
        <x:v>WR</x:v>
      </x:c>
      <x:c r="F18" s="11" t="str">
        <x:v>NO</x:v>
      </x:c>
      <x:c r="G18" s="13" t="n">
        <x:v>8</x:v>
      </x:c>
      <x:c r="H18" s="12" t="n">
        <x:v>256.8</x:v>
      </x:c>
      <x:c r="I18" s="12" t="n">
        <x:v>236</x:v>
      </x:c>
      <x:c r="J18" s="12" t="n">
        <x:v>20.8</x:v>
      </x:c>
      <x:c r="K18" s="12" t="n">
        <x:v>249.5</x:v>
      </x:c>
      <x:c r="L18" s="12" t="n">
        <x:v>14.4</x:v>
      </x:c>
      <x:c r="M18" s="12" t="n">
        <x:v>65</x:v>
      </x:c>
      <x:c r="N18" s="11" t="str">
        <x:v>High</x:v>
      </x:c>
      <x:c r="O18" s="13" t="n">
        <x:v>8</x:v>
      </x:c>
      <x:c r="P18" s="13" t="n">
        <x:v>22</x:v>
      </x:c>
      <x:c r="Q18" s="11"/>
      <x:c r="R18" s="11" t="str">
        <x:v>Veteran model: 2025 form, prior-year trend and same team pass/run forecast; team pass volume #8, rush volume #22</x:v>
      </x:c>
    </x:row>
    <x:row r="19" ht="19" customHeight="1">
      <x:c r="A19" s="13" t="n">
        <x:v>15</x:v>
      </x:c>
      <x:c r="B19" s="12" t="n">
        <x:v>10.5</x:v>
      </x:c>
      <x:c r="C19" s="12" t="n">
        <x:f>B19-A19</x:f>
        <x:v>-4.5</x:v>
      </x:c>
      <x:c r="D19" s="11" t="str">
        <x:v>James Cook</x:v>
      </x:c>
      <x:c r="E19" s="11" t="str">
        <x:v>RB</x:v>
      </x:c>
      <x:c r="F19" s="11" t="str">
        <x:v>BUF</x:v>
      </x:c>
      <x:c r="G19" s="13" t="n">
        <x:v>7</x:v>
      </x:c>
      <x:c r="H19" s="12" t="n">
        <x:v>244.7</x:v>
      </x:c>
      <x:c r="I19" s="12" t="n">
        <x:v>261</x:v>
      </x:c>
      <x:c r="J19" s="12" t="n">
        <x:v>-16.3</x:v>
      </x:c>
      <x:c r="K19" s="12" t="n">
        <x:v>250.4</x:v>
      </x:c>
      <x:c r="L19" s="12" t="n">
        <x:v>14.9</x:v>
      </x:c>
      <x:c r="M19" s="12" t="n">
        <x:v>55.7</x:v>
      </x:c>
      <x:c r="N19" s="11" t="str">
        <x:v>High</x:v>
      </x:c>
      <x:c r="O19" s="13" t="n">
        <x:v>28</x:v>
      </x:c>
      <x:c r="P19" s="13" t="n">
        <x:v>3</x:v>
      </x:c>
      <x:c r="Q19" s="11"/>
      <x:c r="R19" s="11" t="str">
        <x:v>Veteran model: 2025 form, prior-year trend and same team pass/run forecast; team pass volume #28, rush volume #3</x:v>
      </x:c>
    </x:row>
    <x:row r="20" ht="19" customHeight="1">
      <x:c r="A20" s="13" t="n">
        <x:v>16</x:v>
      </x:c>
      <x:c r="B20" s="12" t="n">
        <x:v>22.1</x:v>
      </x:c>
      <x:c r="C20" s="12" t="n">
        <x:f>B20-A20</x:f>
        <x:v>6.100000000000001</x:v>
      </x:c>
      <x:c r="D20" s="11" t="str">
        <x:v>Brock Bowers</x:v>
      </x:c>
      <x:c r="E20" s="11" t="str">
        <x:v>TE</x:v>
      </x:c>
      <x:c r="F20" s="11" t="str">
        <x:v>LV</x:v>
      </x:c>
      <x:c r="G20" s="13" t="n">
        <x:v>13</x:v>
      </x:c>
      <x:c r="H20" s="12" t="n">
        <x:v>216.4</x:v>
      </x:c>
      <x:c r="I20" s="12" t="n">
        <x:v>254</x:v>
      </x:c>
      <x:c r="J20" s="12" t="n">
        <x:v>-37.6</x:v>
      </x:c>
      <x:c r="K20" s="12" t="n">
        <x:v>229.6</x:v>
      </x:c>
      <x:c r="L20" s="12" t="n">
        <x:v>16.2</x:v>
      </x:c>
      <x:c r="M20" s="12" t="n">
        <x:v>54.8</x:v>
      </x:c>
      <x:c r="N20" s="11" t="str">
        <x:v>High</x:v>
      </x:c>
      <x:c r="O20" s="13" t="n">
        <x:v>15</x:v>
      </x:c>
      <x:c r="P20" s="13" t="n">
        <x:v>32</x:v>
      </x:c>
      <x:c r="Q20" s="11"/>
      <x:c r="R20" s="11" t="str">
        <x:v>Veteran model: 2025 form, prior-year trend and same team pass/run forecast; team pass volume #15, rush volume #32</x:v>
      </x:c>
    </x:row>
    <x:row r="21" ht="19" customHeight="1">
      <x:c r="A21" s="13" t="n">
        <x:v>17</x:v>
      </x:c>
      <x:c r="B21" s="12" t="n">
        <x:v>13.8</x:v>
      </x:c>
      <x:c r="C21" s="12" t="n">
        <x:f>B21-A21</x:f>
        <x:v>-3.1999999999999993</x:v>
      </x:c>
      <x:c r="D21" s="11" t="str">
        <x:v>Ashton Jeanty</x:v>
      </x:c>
      <x:c r="E21" s="11" t="str">
        <x:v>RB</x:v>
      </x:c>
      <x:c r="F21" s="11" t="str">
        <x:v>LV</x:v>
      </x:c>
      <x:c r="G21" s="13" t="n">
        <x:v>13</x:v>
      </x:c>
      <x:c r="H21" s="12" t="n">
        <x:v>247.8</x:v>
      </x:c>
      <x:c r="I21" s="12" t="n">
        <x:v>260</x:v>
      </x:c>
      <x:c r="J21" s="12" t="n">
        <x:v>-12.2</x:v>
      </x:c>
      <x:c r="K21" s="12" t="n">
        <x:v>253.9</x:v>
      </x:c>
      <x:c r="L21" s="12" t="n">
        <x:v>13.7</x:v>
      </x:c>
      <x:c r="M21" s="12" t="n">
        <x:v>53.8</x:v>
      </x:c>
      <x:c r="N21" s="11" t="str">
        <x:v>Medium</x:v>
      </x:c>
      <x:c r="O21" s="13" t="n">
        <x:v>15</x:v>
      </x:c>
      <x:c r="P21" s="13" t="n">
        <x:v>32</x:v>
      </x:c>
      <x:c r="Q21" s="11"/>
      <x:c r="R21" s="11" t="str">
        <x:v>Veteran model: 2025 form, prior-year trend and same team pass/run forecast; team pass volume #15, rush volume #32</x:v>
      </x:c>
    </x:row>
    <x:row r="22" ht="19" customHeight="1">
      <x:c r="A22" s="13" t="n">
        <x:v>18</x:v>
      </x:c>
      <x:c r="B22" s="12" t="n">
        <x:v>41.1</x:v>
      </x:c>
      <x:c r="C22" s="12" t="n">
        <x:f>B22-A22</x:f>
        <x:v>23.1</x:v>
      </x:c>
      <x:c r="D22" s="11" t="str">
        <x:v>Zay Flowers</x:v>
      </x:c>
      <x:c r="E22" s="11" t="str">
        <x:v>WR</x:v>
      </x:c>
      <x:c r="F22" s="11" t="str">
        <x:v>BAL</x:v>
      </x:c>
      <x:c r="G22" s="13" t="n">
        <x:v>13</x:v>
      </x:c>
      <x:c r="H22" s="12" t="n">
        <x:v>237.8</x:v>
      </x:c>
      <x:c r="I22" s="12" t="n">
        <x:v>228</x:v>
      </x:c>
      <x:c r="J22" s="12" t="n">
        <x:v>9.8</x:v>
      </x:c>
      <x:c r="K22" s="12" t="n">
        <x:v>234.4</x:v>
      </x:c>
      <x:c r="L22" s="12" t="n">
        <x:v>15.6</x:v>
      </x:c>
      <x:c r="M22" s="12" t="n">
        <x:v>52.9</x:v>
      </x:c>
      <x:c r="N22" s="11" t="str">
        <x:v>High</x:v>
      </x:c>
      <x:c r="O22" s="13" t="n">
        <x:v>32</x:v>
      </x:c>
      <x:c r="P22" s="13" t="n">
        <x:v>1</x:v>
      </x:c>
      <x:c r="Q22" s="11"/>
      <x:c r="R22" s="11" t="str">
        <x:v>Veteran model: 2025 form, prior-year trend and same team pass/run forecast; team pass volume #32, rush volume #1</x:v>
      </x:c>
    </x:row>
    <x:row r="23" ht="19" customHeight="1">
      <x:c r="A23" s="13" t="n">
        <x:v>19</x:v>
      </x:c>
      <x:c r="B23" s="12" t="n">
        <x:v>13.7</x:v>
      </x:c>
      <x:c r="C23" s="12" t="n">
        <x:f>B23-A23</x:f>
        <x:v>-5.300000000000001</x:v>
      </x:c>
      <x:c r="D23" s="11" t="str">
        <x:v>Saquon Barkley</x:v>
      </x:c>
      <x:c r="E23" s="11" t="str">
        <x:v>RB</x:v>
      </x:c>
      <x:c r="F23" s="11" t="str">
        <x:v>PHI</x:v>
      </x:c>
      <x:c r="G23" s="13" t="n">
        <x:v>10</x:v>
      </x:c>
      <x:c r="H23" s="12" t="n">
        <x:v>249.8</x:v>
      </x:c>
      <x:c r="I23" s="12" t="n">
        <x:v>247</x:v>
      </x:c>
      <x:c r="J23" s="12" t="n">
        <x:v>2.8</x:v>
      </x:c>
      <x:c r="K23" s="12" t="n">
        <x:v>248.8</x:v>
      </x:c>
      <x:c r="L23" s="12" t="n">
        <x:v>13</x:v>
      </x:c>
      <x:c r="M23" s="12" t="n">
        <x:v>52.5</x:v>
      </x:c>
      <x:c r="N23" s="11" t="str">
        <x:v>High</x:v>
      </x:c>
      <x:c r="O23" s="13" t="n">
        <x:v>31</x:v>
      </x:c>
      <x:c r="P23" s="13" t="n">
        <x:v>2</x:v>
      </x:c>
      <x:c r="Q23" s="11"/>
      <x:c r="R23" s="11" t="str">
        <x:v>Veteran model: 2025 form, prior-year trend and same team pass/run forecast; team pass volume #31, rush volume #2</x:v>
      </x:c>
    </x:row>
    <x:row r="24" ht="19" customHeight="1">
      <x:c r="A24" s="13" t="n">
        <x:v>20</x:v>
      </x:c>
      <x:c r="B24" s="12" t="n">
        <x:v>9.5</x:v>
      </x:c>
      <x:c r="C24" s="12" t="n">
        <x:f>B24-A24</x:f>
        <x:v>-10.5</x:v>
      </x:c>
      <x:c r="D24" s="11" t="str">
        <x:v>CeeDee Lamb</x:v>
      </x:c>
      <x:c r="E24" s="11" t="str">
        <x:v>WR</x:v>
      </x:c>
      <x:c r="F24" s="11" t="str">
        <x:v>DAL</x:v>
      </x:c>
      <x:c r="G24" s="13" t="n">
        <x:v>14</x:v>
      </x:c>
      <x:c r="H24" s="12" t="n">
        <x:v>247.2</x:v>
      </x:c>
      <x:c r="I24" s="12" t="n">
        <x:v>271</x:v>
      </x:c>
      <x:c r="J24" s="12" t="n">
        <x:v>-23.8</x:v>
      </x:c>
      <x:c r="K24" s="12" t="n">
        <x:v>255.6</x:v>
      </x:c>
      <x:c r="L24" s="12" t="n">
        <x:v>12.5</x:v>
      </x:c>
      <x:c r="M24" s="12" t="n">
        <x:v>49.3</x:v>
      </x:c>
      <x:c r="N24" s="11" t="str">
        <x:v>High</x:v>
      </x:c>
      <x:c r="O24" s="13" t="n">
        <x:v>2</x:v>
      </x:c>
      <x:c r="P24" s="13" t="n">
        <x:v>20</x:v>
      </x:c>
      <x:c r="Q24" s="11"/>
      <x:c r="R24" s="11" t="str">
        <x:v>Veteran model: 2025 form, prior-year trend and same team pass/run forecast; team pass volume #2, rush volume #20</x:v>
      </x:c>
    </x:row>
    <x:row r="25" ht="19" customHeight="1">
      <x:c r="A25" s="13" t="n">
        <x:v>21</x:v>
      </x:c>
      <x:c r="B25" s="12" t="n">
        <x:v>68.2</x:v>
      </x:c>
      <x:c r="C25" s="12" t="n">
        <x:f>B25-A25</x:f>
        <x:v>47.2</x:v>
      </x:c>
      <x:c r="D25" s="11" t="str">
        <x:v>Kyle Pitts</x:v>
      </x:c>
      <x:c r="E25" s="11" t="str">
        <x:v>TE</x:v>
      </x:c>
      <x:c r="F25" s="11" t="str">
        <x:v>ATL</x:v>
      </x:c>
      <x:c r="G25" s="13" t="n">
        <x:v>11</x:v>
      </x:c>
      <x:c r="H25" s="12" t="n">
        <x:v>211.6</x:v>
      </x:c>
      <x:c r="I25" s="12" t="n">
        <x:v>172</x:v>
      </x:c>
      <x:c r="J25" s="12" t="n">
        <x:v>39.6</x:v>
      </x:c>
      <x:c r="K25" s="12" t="n">
        <x:v>197.7</x:v>
      </x:c>
      <x:c r="L25" s="12" t="n">
        <x:v>14.9</x:v>
      </x:c>
      <x:c r="M25" s="12" t="n">
        <x:v>46.2</x:v>
      </x:c>
      <x:c r="N25" s="11" t="str">
        <x:v>High</x:v>
      </x:c>
      <x:c r="O25" s="13" t="n">
        <x:v>17</x:v>
      </x:c>
      <x:c r="P25" s="13" t="n">
        <x:v>5</x:v>
      </x:c>
      <x:c r="Q25" s="11"/>
      <x:c r="R25" s="11" t="str">
        <x:v>Veteran model: 2025 form, prior-year trend and same team pass/run forecast; team pass volume #17, rush volume #5</x:v>
      </x:c>
    </x:row>
    <x:row r="26" ht="19" customHeight="1">
      <x:c r="A26" s="13" t="n">
        <x:v>22</x:v>
      </x:c>
      <x:c r="B26" s="12" t="n">
        <x:v>11.2</x:v>
      </x:c>
      <x:c r="C26" s="12" t="n">
        <x:f>B26-A26</x:f>
        <x:v>-10.8</x:v>
      </x:c>
      <x:c r="D26" s="11" t="str">
        <x:v>Justin Jefferson</x:v>
      </x:c>
      <x:c r="E26" s="11" t="str">
        <x:v>WR</x:v>
      </x:c>
      <x:c r="F26" s="11" t="str">
        <x:v>MIN</x:v>
      </x:c>
      <x:c r="G26" s="13" t="n">
        <x:v>6</x:v>
      </x:c>
      <x:c r="H26" s="12" t="n">
        <x:v>238.1</x:v>
      </x:c>
      <x:c r="I26" s="12" t="n">
        <x:v>250</x:v>
      </x:c>
      <x:c r="J26" s="12" t="n">
        <x:v>-11.9</x:v>
      </x:c>
      <x:c r="K26" s="12" t="n">
        <x:v>242.3</x:v>
      </x:c>
      <x:c r="L26" s="12" t="n">
        <x:v>13.1</x:v>
      </x:c>
      <x:c r="M26" s="12" t="n">
        <x:v>44.7</x:v>
      </x:c>
      <x:c r="N26" s="11" t="str">
        <x:v>High</x:v>
      </x:c>
      <x:c r="O26" s="13" t="n">
        <x:v>26</x:v>
      </x:c>
      <x:c r="P26" s="13" t="n">
        <x:v>27</x:v>
      </x:c>
      <x:c r="Q26" s="11"/>
      <x:c r="R26" s="11" t="str">
        <x:v>Veteran model: 2025 form, prior-year trend and same team pass/run forecast; team pass volume #26, rush volume #27</x:v>
      </x:c>
    </x:row>
    <x:row r="27" ht="19" customHeight="1">
      <x:c r="A27" s="13" t="n">
        <x:v>23</x:v>
      </x:c>
      <x:c r="B27" s="12" t="n">
        <x:v>32.5</x:v>
      </x:c>
      <x:c r="C27" s="12" t="n">
        <x:f>B27-A27</x:f>
        <x:v>9.5</x:v>
      </x:c>
      <x:c r="D27" s="11" t="str">
        <x:v>Breece Hall</x:v>
      </x:c>
      <x:c r="E27" s="11" t="str">
        <x:v>RB</x:v>
      </x:c>
      <x:c r="F27" s="11" t="str">
        <x:v>NYJ</x:v>
      </x:c>
      <x:c r="G27" s="13" t="n">
        <x:v>13</x:v>
      </x:c>
      <x:c r="H27" s="12" t="n">
        <x:v>232.5</x:v>
      </x:c>
      <x:c r="I27" s="12" t="n">
        <x:v>211</x:v>
      </x:c>
      <x:c r="J27" s="12" t="n">
        <x:v>21.5</x:v>
      </x:c>
      <x:c r="K27" s="12" t="n">
        <x:v>225</x:v>
      </x:c>
      <x:c r="L27" s="12" t="n">
        <x:v>14.3</x:v>
      </x:c>
      <x:c r="M27" s="12" t="n">
        <x:v>43.2</x:v>
      </x:c>
      <x:c r="N27" s="11" t="str">
        <x:v>High</x:v>
      </x:c>
      <x:c r="O27" s="13" t="n">
        <x:v>20</x:v>
      </x:c>
      <x:c r="P27" s="13" t="n">
        <x:v>28</x:v>
      </x:c>
      <x:c r="Q27" s="11" t="str">
        <x:v>Ques</x:v>
      </x:c>
      <x:c r="R27" s="11" t="str">
        <x:v>Veteran model: 2025 form, prior-year trend and same team pass/run forecast; team pass volume #20, rush volume #28</x:v>
      </x:c>
    </x:row>
    <x:row r="28" ht="19" customHeight="1">
      <x:c r="A28" s="13" t="n">
        <x:v>24</x:v>
      </x:c>
      <x:c r="B28" s="12" t="n">
        <x:v>17.5</x:v>
      </x:c>
      <x:c r="C28" s="12" t="n">
        <x:f>B28-A28</x:f>
        <x:v>-6.5</x:v>
      </x:c>
      <x:c r="D28" s="11" t="str">
        <x:v>Chase Brown</x:v>
      </x:c>
      <x:c r="E28" s="11" t="str">
        <x:v>RB</x:v>
      </x:c>
      <x:c r="F28" s="11" t="str">
        <x:v>CIN</x:v>
      </x:c>
      <x:c r="G28" s="13" t="n">
        <x:v>6</x:v>
      </x:c>
      <x:c r="H28" s="12" t="n">
        <x:v>231.2</x:v>
      </x:c>
      <x:c r="I28" s="12" t="n">
        <x:v>255</x:v>
      </x:c>
      <x:c r="J28" s="12" t="n">
        <x:v>-23.8</x:v>
      </x:c>
      <x:c r="K28" s="12" t="n">
        <x:v>239.5</x:v>
      </x:c>
      <x:c r="L28" s="12" t="n">
        <x:v>14</x:v>
      </x:c>
      <x:c r="M28" s="12" t="n">
        <x:v>41.3</x:v>
      </x:c>
      <x:c r="N28" s="11" t="str">
        <x:v>High</x:v>
      </x:c>
      <x:c r="O28" s="13" t="n">
        <x:v>1</x:v>
      </x:c>
      <x:c r="P28" s="13" t="n">
        <x:v>31</x:v>
      </x:c>
      <x:c r="Q28" s="11"/>
      <x:c r="R28" s="11" t="str">
        <x:v>Veteran model: 2025 form, prior-year trend and same team pass/run forecast; team pass volume #1, rush volume #31</x:v>
      </x:c>
    </x:row>
    <x:row r="29" ht="19" customHeight="1">
      <x:c r="A29" s="13" t="n">
        <x:v>25</x:v>
      </x:c>
      <x:c r="B29" s="12" t="n">
        <x:v>25.7</x:v>
      </x:c>
      <x:c r="C29" s="12" t="n">
        <x:f>B29-A29</x:f>
        <x:v>0.6999999999999993</x:v>
      </x:c>
      <x:c r="D29" s="11" t="str">
        <x:v>Nico Collins</x:v>
      </x:c>
      <x:c r="E29" s="11" t="str">
        <x:v>WR</x:v>
      </x:c>
      <x:c r="F29" s="11" t="str">
        <x:v>HOU</x:v>
      </x:c>
      <x:c r="G29" s="13" t="n">
        <x:v>8</x:v>
      </x:c>
      <x:c r="H29" s="12" t="n">
        <x:v>229.1</x:v>
      </x:c>
      <x:c r="I29" s="12" t="n">
        <x:v>262</x:v>
      </x:c>
      <x:c r="J29" s="12" t="n">
        <x:v>-32.9</x:v>
      </x:c>
      <x:c r="K29" s="12" t="n">
        <x:v>240.6</x:v>
      </x:c>
      <x:c r="L29" s="12" t="n">
        <x:v>13.8</x:v>
      </x:c>
      <x:c r="M29" s="12" t="n">
        <x:v>39.8</x:v>
      </x:c>
      <x:c r="N29" s="11" t="str">
        <x:v>High</x:v>
      </x:c>
      <x:c r="O29" s="13" t="n">
        <x:v>9</x:v>
      </x:c>
      <x:c r="P29" s="13" t="n">
        <x:v>17</x:v>
      </x:c>
      <x:c r="Q29" s="11"/>
      <x:c r="R29" s="11" t="str">
        <x:v>Veteran model: 2025 form, prior-year trend and same team pass/run forecast; team pass volume #9, rush volume #17</x:v>
      </x:c>
    </x:row>
    <x:row r="30" ht="19" customHeight="1">
      <x:c r="A30" s="13" t="n">
        <x:v>26</x:v>
      </x:c>
      <x:c r="B30" s="12" t="n">
        <x:v>24.5</x:v>
      </x:c>
      <x:c r="C30" s="12" t="n">
        <x:f>B30-A30</x:f>
        <x:v>-1.5</x:v>
      </x:c>
      <x:c r="D30" s="11" t="str">
        <x:v>Josh Allen</x:v>
      </x:c>
      <x:c r="E30" s="11" t="str">
        <x:v>QB</x:v>
      </x:c>
      <x:c r="F30" s="11" t="str">
        <x:v>BUF</x:v>
      </x:c>
      <x:c r="G30" s="13" t="n">
        <x:v>7</x:v>
      </x:c>
      <x:c r="H30" s="12" t="n">
        <x:v>325.1</x:v>
      </x:c>
      <x:c r="I30" s="12" t="n">
        <x:v>362</x:v>
      </x:c>
      <x:c r="J30" s="12" t="n">
        <x:v>-36.9</x:v>
      </x:c>
      <x:c r="K30" s="12" t="n">
        <x:v>338</x:v>
      </x:c>
      <x:c r="L30" s="12" t="n">
        <x:v>14.7</x:v>
      </x:c>
      <x:c r="M30" s="12" t="n">
        <x:v>37.1</x:v>
      </x:c>
      <x:c r="N30" s="11" t="str">
        <x:v>High</x:v>
      </x:c>
      <x:c r="O30" s="13" t="n">
        <x:v>28</x:v>
      </x:c>
      <x:c r="P30" s="13" t="n">
        <x:v>3</x:v>
      </x:c>
      <x:c r="Q30" s="11"/>
      <x:c r="R30" s="11" t="str">
        <x:v>Veteran model: 2025 form, prior-year trend and same team pass/run forecast; team pass volume #28, rush volume #3</x:v>
      </x:c>
    </x:row>
    <x:row r="31" ht="19" customHeight="1">
      <x:c r="A31" s="13" t="n">
        <x:v>27</x:v>
      </x:c>
      <x:c r="B31" s="12" t="n">
        <x:v>18.3</x:v>
      </x:c>
      <x:c r="C31" s="12" t="n">
        <x:f>B31-A31</x:f>
        <x:v>-8.7</x:v>
      </x:c>
      <x:c r="D31" s="11" t="str">
        <x:v>A.J. Brown</x:v>
      </x:c>
      <x:c r="E31" s="11" t="str">
        <x:v>WR</x:v>
      </x:c>
      <x:c r="F31" s="11" t="str">
        <x:v>NE</x:v>
      </x:c>
      <x:c r="G31" s="13" t="n">
        <x:v>11</x:v>
      </x:c>
      <x:c r="H31" s="12" t="n">
        <x:v>225</x:v>
      </x:c>
      <x:c r="I31" s="12" t="n">
        <x:v>247</x:v>
      </x:c>
      <x:c r="J31" s="12" t="n">
        <x:v>-22</x:v>
      </x:c>
      <x:c r="K31" s="12" t="n">
        <x:v>232.7</x:v>
      </x:c>
      <x:c r="L31" s="12" t="n">
        <x:v>14</x:v>
      </x:c>
      <x:c r="M31" s="12" t="n">
        <x:v>37</x:v>
      </x:c>
      <x:c r="N31" s="11" t="str">
        <x:v>High</x:v>
      </x:c>
      <x:c r="O31" s="13" t="n">
        <x:v>27</x:v>
      </x:c>
      <x:c r="P31" s="13" t="n">
        <x:v>12</x:v>
      </x:c>
      <x:c r="Q31" s="11"/>
      <x:c r="R31" s="11" t="str">
        <x:v>Veteran model: 2025 form, prior-year trend and new team pass/run forecast; team pass volume #27, rush volume #12</x:v>
      </x:c>
    </x:row>
    <x:row r="32" ht="19" customHeight="1">
      <x:c r="A32" s="13" t="n">
        <x:v>28</x:v>
      </x:c>
      <x:c r="B32" s="12" t="n">
        <x:v>57.3</x:v>
      </x:c>
      <x:c r="C32" s="12" t="n">
        <x:f>B32-A32</x:f>
        <x:v>29.299999999999997</x:v>
      </x:c>
      <x:c r="D32" s="11" t="str">
        <x:v>Jameson Williams</x:v>
      </x:c>
      <x:c r="E32" s="11" t="str">
        <x:v>WR</x:v>
      </x:c>
      <x:c r="F32" s="11" t="str">
        <x:v>DET</x:v>
      </x:c>
      <x:c r="G32" s="13" t="n">
        <x:v>6</x:v>
      </x:c>
      <x:c r="H32" s="12" t="n">
        <x:v>223.5</x:v>
      </x:c>
      <x:c r="I32" s="12" t="n">
        <x:v>206</x:v>
      </x:c>
      <x:c r="J32" s="12" t="n">
        <x:v>17.5</x:v>
      </x:c>
      <x:c r="K32" s="12" t="n">
        <x:v>217.4</x:v>
      </x:c>
      <x:c r="L32" s="12" t="n">
        <x:v>14.5</x:v>
      </x:c>
      <x:c r="M32" s="12" t="n">
        <x:v>37</x:v>
      </x:c>
      <x:c r="N32" s="11" t="str">
        <x:v>High</x:v>
      </x:c>
      <x:c r="O32" s="13" t="n">
        <x:v>10</x:v>
      </x:c>
      <x:c r="P32" s="13" t="n">
        <x:v>7</x:v>
      </x:c>
      <x:c r="Q32" s="11"/>
      <x:c r="R32" s="11" t="str">
        <x:v>Veteran model: 2025 form, prior-year trend and same team pass/run forecast; team pass volume #10, rush volume #7</x:v>
      </x:c>
    </x:row>
    <x:row r="33" ht="19" customHeight="1">
      <x:c r="A33" s="13" t="n">
        <x:v>29</x:v>
      </x:c>
      <x:c r="B33" s="12" t="n">
        <x:v>48.1</x:v>
      </x:c>
      <x:c r="C33" s="12" t="n">
        <x:f>B33-A33</x:f>
        <x:v>19.1</x:v>
      </x:c>
      <x:c r="D33" s="11" t="str">
        <x:v>Drake Maye</x:v>
      </x:c>
      <x:c r="E33" s="11" t="str">
        <x:v>QB</x:v>
      </x:c>
      <x:c r="F33" s="11" t="str">
        <x:v>NE</x:v>
      </x:c>
      <x:c r="G33" s="13" t="n">
        <x:v>11</x:v>
      </x:c>
      <x:c r="H33" s="12" t="n">
        <x:v>323.5</x:v>
      </x:c>
      <x:c r="I33" s="12" t="n">
        <x:v>321</x:v>
      </x:c>
      <x:c r="J33" s="12" t="n">
        <x:v>2.5</x:v>
      </x:c>
      <x:c r="K33" s="12" t="n">
        <x:v>322.7</x:v>
      </x:c>
      <x:c r="L33" s="12" t="n">
        <x:v>14.9</x:v>
      </x:c>
      <x:c r="M33" s="12" t="n">
        <x:v>36.2</x:v>
      </x:c>
      <x:c r="N33" s="11" t="str">
        <x:v>High</x:v>
      </x:c>
      <x:c r="O33" s="13" t="n">
        <x:v>27</x:v>
      </x:c>
      <x:c r="P33" s="13" t="n">
        <x:v>12</x:v>
      </x:c>
      <x:c r="Q33" s="11"/>
      <x:c r="R33" s="11" t="str">
        <x:v>Veteran model: 2025 form, prior-year trend and same team pass/run forecast; team pass volume #27, rush volume #12</x:v>
      </x:c>
    </x:row>
    <x:row r="34" ht="19" customHeight="1">
      <x:c r="A34" s="13" t="n">
        <x:v>30</x:v>
      </x:c>
      <x:c r="B34" s="12" t="n">
        <x:v>29.2</x:v>
      </x:c>
      <x:c r="C34" s="12" t="n">
        <x:f>B34-A34</x:f>
        <x:v>-0.8000000000000007</x:v>
      </x:c>
      <x:c r="D34" s="11" t="str">
        <x:v>Kyren Williams</x:v>
      </x:c>
      <x:c r="E34" s="11" t="str">
        <x:v>RB</x:v>
      </x:c>
      <x:c r="F34" s="11" t="str">
        <x:v>LAR</x:v>
      </x:c>
      <x:c r="G34" s="13" t="n">
        <x:v>11</x:v>
      </x:c>
      <x:c r="H34" s="12" t="n">
        <x:v>224.2</x:v>
      </x:c>
      <x:c r="I34" s="12" t="n">
        <x:v>208</x:v>
      </x:c>
      <x:c r="J34" s="12" t="n">
        <x:v>16.2</x:v>
      </x:c>
      <x:c r="K34" s="12" t="n">
        <x:v>218.5</x:v>
      </x:c>
      <x:c r="L34" s="12" t="n">
        <x:v>13.7</x:v>
      </x:c>
      <x:c r="M34" s="12" t="n">
        <x:v>34.7</x:v>
      </x:c>
      <x:c r="N34" s="11" t="str">
        <x:v>High</x:v>
      </x:c>
      <x:c r="O34" s="13" t="n">
        <x:v>7</x:v>
      </x:c>
      <x:c r="P34" s="13" t="n">
        <x:v>14</x:v>
      </x:c>
      <x:c r="Q34" s="11"/>
      <x:c r="R34" s="11" t="str">
        <x:v>Veteran model: 2025 form, prior-year trend and same team pass/run forecast; team pass volume #7, rush volume #14</x:v>
      </x:c>
    </x:row>
    <x:row r="35" ht="19" customHeight="1">
      <x:c r="A35" s="13" t="n">
        <x:v>31</x:v>
      </x:c>
      <x:c r="B35" s="12" t="n">
        <x:v>36.2</x:v>
      </x:c>
      <x:c r="C35" s="12" t="n">
        <x:f>B35-A35</x:f>
        <x:v>5.200000000000003</x:v>
      </x:c>
      <x:c r="D35" s="11" t="str">
        <x:v>Javonte Williams</x:v>
      </x:c>
      <x:c r="E35" s="11" t="str">
        <x:v>RB</x:v>
      </x:c>
      <x:c r="F35" s="11" t="str">
        <x:v>DAL</x:v>
      </x:c>
      <x:c r="G35" s="13" t="n">
        <x:v>14</x:v>
      </x:c>
      <x:c r="H35" s="12" t="n">
        <x:v>224.4</x:v>
      </x:c>
      <x:c r="I35" s="12" t="n">
        <x:v>207</x:v>
      </x:c>
      <x:c r="J35" s="12" t="n">
        <x:v>17.4</x:v>
      </x:c>
      <x:c r="K35" s="12" t="n">
        <x:v>218.3</x:v>
      </x:c>
      <x:c r="L35" s="12" t="n">
        <x:v>13.6</x:v>
      </x:c>
      <x:c r="M35" s="12" t="n">
        <x:v>34.6</x:v>
      </x:c>
      <x:c r="N35" s="11" t="str">
        <x:v>High</x:v>
      </x:c>
      <x:c r="O35" s="13" t="n">
        <x:v>2</x:v>
      </x:c>
      <x:c r="P35" s="13" t="n">
        <x:v>20</x:v>
      </x:c>
      <x:c r="Q35" s="11"/>
      <x:c r="R35" s="11" t="str">
        <x:v>Veteran model: 2025 form, prior-year trend and same team pass/run forecast; team pass volume #2, rush volume #20</x:v>
      </x:c>
    </x:row>
    <x:row r="36" ht="19" customHeight="1">
      <x:c r="A36" s="13" t="n">
        <x:v>32</x:v>
      </x:c>
      <x:c r="B36" s="12" t="n">
        <x:v>31.4</x:v>
      </x:c>
      <x:c r="C36" s="12" t="n">
        <x:f>B36-A36</x:f>
        <x:v>-0.6000000000000014</x:v>
      </x:c>
      <x:c r="D36" s="11" t="str">
        <x:v>Josh Jacobs</x:v>
      </x:c>
      <x:c r="E36" s="11" t="str">
        <x:v>RB</x:v>
      </x:c>
      <x:c r="F36" s="11" t="str">
        <x:v>GB</x:v>
      </x:c>
      <x:c r="G36" s="13" t="n">
        <x:v>11</x:v>
      </x:c>
      <x:c r="H36" s="12" t="n">
        <x:v>228.4</x:v>
      </x:c>
      <x:c r="I36" s="12" t="n">
        <x:v>203</x:v>
      </x:c>
      <x:c r="J36" s="12" t="n">
        <x:v>25.4</x:v>
      </x:c>
      <x:c r="K36" s="12" t="n">
        <x:v>219.5</x:v>
      </x:c>
      <x:c r="L36" s="12" t="n">
        <x:v>12.4</x:v>
      </x:c>
      <x:c r="M36" s="12" t="n">
        <x:v>34.5</x:v>
      </x:c>
      <x:c r="N36" s="11" t="str">
        <x:v>High</x:v>
      </x:c>
      <x:c r="O36" s="13" t="n">
        <x:v>30</x:v>
      </x:c>
      <x:c r="P36" s="13" t="n">
        <x:v>4</x:v>
      </x:c>
      <x:c r="Q36" s="11" t="str">
        <x:v>Ques</x:v>
      </x:c>
      <x:c r="R36" s="11" t="str">
        <x:v>Veteran model: 2025 form, prior-year trend and same team pass/run forecast; team pass volume #30, rush volume #4</x:v>
      </x:c>
    </x:row>
    <x:row r="37" ht="19" customHeight="1">
      <x:c r="A37" s="13" t="n">
        <x:v>33</x:v>
      </x:c>
      <x:c r="B37" s="12" t="n">
        <x:v>37.5</x:v>
      </x:c>
      <x:c r="C37" s="12" t="n">
        <x:f>B37-A37</x:f>
        <x:v>4.5</x:v>
      </x:c>
      <x:c r="D37" s="11" t="str">
        <x:v>DeVonta Smith</x:v>
      </x:c>
      <x:c r="E37" s="11" t="str">
        <x:v>WR</x:v>
      </x:c>
      <x:c r="F37" s="11" t="str">
        <x:v>PHI</x:v>
      </x:c>
      <x:c r="G37" s="13" t="n">
        <x:v>10</x:v>
      </x:c>
      <x:c r="H37" s="12" t="n">
        <x:v>224.8</x:v>
      </x:c>
      <x:c r="I37" s="12" t="n">
        <x:v>229</x:v>
      </x:c>
      <x:c r="J37" s="12" t="n">
        <x:v>-4.2</x:v>
      </x:c>
      <x:c r="K37" s="12" t="n">
        <x:v>226.3</x:v>
      </x:c>
      <x:c r="L37" s="12" t="n">
        <x:v>13.1</x:v>
      </x:c>
      <x:c r="M37" s="12" t="n">
        <x:v>34.4</x:v>
      </x:c>
      <x:c r="N37" s="11" t="str">
        <x:v>High</x:v>
      </x:c>
      <x:c r="O37" s="13" t="n">
        <x:v>31</x:v>
      </x:c>
      <x:c r="P37" s="13" t="n">
        <x:v>2</x:v>
      </x:c>
      <x:c r="Q37" s="11" t="str">
        <x:v>Ques</x:v>
      </x:c>
      <x:c r="R37" s="11" t="str">
        <x:v>Veteran model: 2025 form, prior-year trend and same team pass/run forecast; team pass volume #31, rush volume #2</x:v>
      </x:c>
    </x:row>
    <x:row r="38" ht="19" customHeight="1">
      <x:c r="A38" s="13" t="n">
        <x:v>34</x:v>
      </x:c>
      <x:c r="B38" s="12" t="n">
        <x:v>27</x:v>
      </x:c>
      <x:c r="C38" s="12" t="n">
        <x:f>B38-A38</x:f>
        <x:v>-7</x:v>
      </x:c>
      <x:c r="D38" s="11" t="str">
        <x:v>Rashee Rice</x:v>
      </x:c>
      <x:c r="E38" s="11" t="str">
        <x:v>WR</x:v>
      </x:c>
      <x:c r="F38" s="11" t="str">
        <x:v>KC</x:v>
      </x:c>
      <x:c r="G38" s="13" t="n">
        <x:v>5</x:v>
      </x:c>
      <x:c r="H38" s="12" t="n">
        <x:v>229.9</x:v>
      </x:c>
      <x:c r="I38" s="12" t="n">
        <x:v>229</x:v>
      </x:c>
      <x:c r="J38" s="12" t="n">
        <x:v>0.9</x:v>
      </x:c>
      <x:c r="K38" s="12" t="n">
        <x:v>229.5</x:v>
      </x:c>
      <x:c r="L38" s="12" t="n">
        <x:v>11.6</x:v>
      </x:c>
      <x:c r="M38" s="12" t="n">
        <x:v>34</x:v>
      </x:c>
      <x:c r="N38" s="11" t="str">
        <x:v>Medium</x:v>
      </x:c>
      <x:c r="O38" s="13" t="n">
        <x:v>5</x:v>
      </x:c>
      <x:c r="P38" s="13" t="n">
        <x:v>25</x:v>
      </x:c>
      <x:c r="Q38" s="11"/>
      <x:c r="R38" s="11" t="str">
        <x:v>Veteran model: 2025 form, prior-year trend and same team pass/run forecast; team pass volume #5, rush volume #25</x:v>
      </x:c>
    </x:row>
    <x:row r="39" ht="19" customHeight="1">
      <x:c r="A39" s="13" t="n">
        <x:v>35</x:v>
      </x:c>
      <x:c r="B39" s="12" t="n">
        <x:v>71.9</x:v>
      </x:c>
      <x:c r="C39" s="12" t="n">
        <x:f>B39-A39</x:f>
        <x:v>36.900000000000006</x:v>
      </x:c>
      <x:c r="D39" s="11" t="str">
        <x:v>Caleb Williams</x:v>
      </x:c>
      <x:c r="E39" s="11" t="str">
        <x:v>QB</x:v>
      </x:c>
      <x:c r="F39" s="11" t="str">
        <x:v>CHI</x:v>
      </x:c>
      <x:c r="G39" s="13" t="n">
        <x:v>10</x:v>
      </x:c>
      <x:c r="H39" s="12" t="n">
        <x:v>319.6</x:v>
      </x:c>
      <x:c r="I39" s="12" t="n">
        <x:v>299</x:v>
      </x:c>
      <x:c r="J39" s="12" t="n">
        <x:v>20.6</x:v>
      </x:c>
      <x:c r="K39" s="12" t="n">
        <x:v>312.4</x:v>
      </x:c>
      <x:c r="L39" s="12" t="n">
        <x:v>15.4</x:v>
      </x:c>
      <x:c r="M39" s="12" t="n">
        <x:v>33.9</x:v>
      </x:c>
      <x:c r="N39" s="11" t="str">
        <x:v>High</x:v>
      </x:c>
      <x:c r="O39" s="13" t="n">
        <x:v>13</x:v>
      </x:c>
      <x:c r="P39" s="13" t="n">
        <x:v>6</x:v>
      </x:c>
      <x:c r="Q39" s="11"/>
      <x:c r="R39" s="11" t="str">
        <x:v>Veteran model: 2025 form, prior-year trend and same team pass/run forecast; team pass volume #13, rush volume #6</x:v>
      </x:c>
    </x:row>
    <x:row r="40" ht="19" customHeight="1">
      <x:c r="A40" s="13" t="n">
        <x:v>36</x:v>
      </x:c>
      <x:c r="B40" s="12" t="n">
        <x:v>15.5</x:v>
      </x:c>
      <x:c r="C40" s="12" t="n">
        <x:f>B40-A40</x:f>
        <x:v>-20.5</x:v>
      </x:c>
      <x:c r="D40" s="11" t="str">
        <x:v>Omarion Hampton</x:v>
      </x:c>
      <x:c r="E40" s="11" t="str">
        <x:v>RB</x:v>
      </x:c>
      <x:c r="F40" s="11" t="str">
        <x:v>LAC</x:v>
      </x:c>
      <x:c r="G40" s="13" t="n">
        <x:v>7</x:v>
      </x:c>
      <x:c r="H40" s="12" t="n">
        <x:v>225.5</x:v>
      </x:c>
      <x:c r="I40" s="12" t="n">
        <x:v>243</x:v>
      </x:c>
      <x:c r="J40" s="12" t="n">
        <x:v>-17.5</x:v>
      </x:c>
      <x:c r="K40" s="12" t="n">
        <x:v>234.3</x:v>
      </x:c>
      <x:c r="L40" s="12" t="n">
        <x:v>11.9</x:v>
      </x:c>
      <x:c r="M40" s="12" t="n">
        <x:v>31.1</x:v>
      </x:c>
      <x:c r="N40" s="11" t="str">
        <x:v>Medium</x:v>
      </x:c>
      <x:c r="O40" s="13" t="n">
        <x:v>14</x:v>
      </x:c>
      <x:c r="P40" s="13" t="n">
        <x:v>16</x:v>
      </x:c>
      <x:c r="Q40" s="11"/>
      <x:c r="R40" s="11" t="str">
        <x:v>Veteran model: 2025 form, prior-year trend and same team pass/run forecast; team pass volume #14, rush volume #16</x:v>
      </x:c>
    </x:row>
    <x:row r="41" ht="19" customHeight="1">
      <x:c r="A41" s="13" t="n">
        <x:v>37</x:v>
      </x:c>
      <x:c r="B41" s="12" t="n">
        <x:v>55.1</x:v>
      </x:c>
      <x:c r="C41" s="12" t="n">
        <x:f>B41-A41</x:f>
        <x:v>18.1</x:v>
      </x:c>
      <x:c r="D41" s="11" t="str">
        <x:v>D'Andre Swift</x:v>
      </x:c>
      <x:c r="E41" s="11" t="str">
        <x:v>RB</x:v>
      </x:c>
      <x:c r="F41" s="11" t="str">
        <x:v>CHI</x:v>
      </x:c>
      <x:c r="G41" s="13" t="n">
        <x:v>10</x:v>
      </x:c>
      <x:c r="H41" s="12" t="n">
        <x:v>219.1</x:v>
      </x:c>
      <x:c r="I41" s="12" t="n">
        <x:v>208</x:v>
      </x:c>
      <x:c r="J41" s="12" t="n">
        <x:v>11.1</x:v>
      </x:c>
      <x:c r="K41" s="12" t="n">
        <x:v>215.2</x:v>
      </x:c>
      <x:c r="L41" s="12" t="n">
        <x:v>13.1</x:v>
      </x:c>
      <x:c r="M41" s="12" t="n">
        <x:v>29.3</x:v>
      </x:c>
      <x:c r="N41" s="11" t="str">
        <x:v>High</x:v>
      </x:c>
      <x:c r="O41" s="13" t="n">
        <x:v>13</x:v>
      </x:c>
      <x:c r="P41" s="13" t="n">
        <x:v>6</x:v>
      </x:c>
      <x:c r="Q41" s="11"/>
      <x:c r="R41" s="11" t="str">
        <x:v>Veteran model: 2025 form, prior-year trend and same team pass/run forecast; team pass volume #13, rush volume #6</x:v>
      </x:c>
    </x:row>
    <x:row r="42" ht="19" customHeight="1">
      <x:c r="A42" s="13" t="n">
        <x:v>38</x:v>
      </x:c>
      <x:c r="B42" s="12" t="n">
        <x:v>110.8</x:v>
      </x:c>
      <x:c r="C42" s="12" t="n">
        <x:f>B42-A42</x:f>
        <x:v>72.8</x:v>
      </x:c>
      <x:c r="D42" s="11" t="str">
        <x:v>Wan'Dale Robinson</x:v>
      </x:c>
      <x:c r="E42" s="11" t="str">
        <x:v>WR</x:v>
      </x:c>
      <x:c r="F42" s="11" t="str">
        <x:v>TEN</x:v>
      </x:c>
      <x:c r="G42" s="13" t="n">
        <x:v>9</x:v>
      </x:c>
      <x:c r="H42" s="12" t="n">
        <x:v>212.1</x:v>
      </x:c>
      <x:c r="I42" s="12" t="n">
        <x:v>171</x:v>
      </x:c>
      <x:c r="J42" s="12" t="n">
        <x:v>41.1</x:v>
      </x:c>
      <x:c r="K42" s="12" t="n">
        <x:v>197.7</x:v>
      </x:c>
      <x:c r="L42" s="12" t="n">
        <x:v>15.1</x:v>
      </x:c>
      <x:c r="M42" s="12" t="n">
        <x:v>28.4</x:v>
      </x:c>
      <x:c r="N42" s="11" t="str">
        <x:v>High</x:v>
      </x:c>
      <x:c r="O42" s="13" t="n">
        <x:v>18</x:v>
      </x:c>
      <x:c r="P42" s="13" t="n">
        <x:v>30</x:v>
      </x:c>
      <x:c r="Q42" s="11"/>
      <x:c r="R42" s="11" t="str">
        <x:v>Veteran model: 2025 form, prior-year trend and new team pass/run forecast; team pass volume #18, rush volume #30</x:v>
      </x:c>
    </x:row>
    <x:row r="43" ht="19" customHeight="1">
      <x:c r="A43" s="13" t="n">
        <x:v>39</x:v>
      </x:c>
      <x:c r="B43" s="12" t="n">
        <x:v>69.7</x:v>
      </x:c>
      <x:c r="C43" s="12" t="n">
        <x:f>B43-A43</x:f>
        <x:v>30.700000000000003</x:v>
      </x:c>
      <x:c r="D43" s="11" t="str">
        <x:v>Jadarian Price</x:v>
      </x:c>
      <x:c r="E43" s="11" t="str">
        <x:v>RB</x:v>
      </x:c>
      <x:c r="F43" s="11" t="str">
        <x:v>SEA</x:v>
      </x:c>
      <x:c r="G43" s="13" t="n">
        <x:v>11</x:v>
      </x:c>
      <x:c r="H43" s="12" t="n">
        <x:v>221.7</x:v>
      </x:c>
      <x:c r="I43" s="12" t="n">
        <x:v>170</x:v>
      </x:c>
      <x:c r="J43" s="12" t="n">
        <x:v>51.7</x:v>
      </x:c>
      <x:c r="K43" s="12" t="n">
        <x:v>182.9</x:v>
      </x:c>
      <x:c r="L43" s="12" t="n">
        <x:v>11.6</x:v>
      </x:c>
      <x:c r="M43" s="12" t="n">
        <x:v>27.7</x:v>
      </x:c>
      <x:c r="N43" s="11" t="str">
        <x:v>Low</x:v>
      </x:c>
      <x:c r="O43" s="13" t="n">
        <x:v>23</x:v>
      </x:c>
      <x:c r="P43" s="13" t="n">
        <x:v>21</x:v>
      </x:c>
      <x:c r="Q43" s="11"/>
      <x:c r="R43" s="11" t="str">
        <x:v>Rookie model: pick 32, age and destination-team environment; team pass volume #23, rush volume #21</x:v>
      </x:c>
    </x:row>
    <x:row r="44" ht="19" customHeight="1">
      <x:c r="A44" s="13" t="n">
        <x:v>40</x:v>
      </x:c>
      <x:c r="B44" s="12" t="n">
        <x:v>27.8</x:v>
      </x:c>
      <x:c r="C44" s="12" t="n">
        <x:f>B44-A44</x:f>
        <x:v>-12.2</x:v>
      </x:c>
      <x:c r="D44" s="11" t="str">
        <x:v>Malik Nabers</x:v>
      </x:c>
      <x:c r="E44" s="11" t="str">
        <x:v>WR</x:v>
      </x:c>
      <x:c r="F44" s="11" t="str">
        <x:v>NYG</x:v>
      </x:c>
      <x:c r="G44" s="13" t="n">
        <x:v>8</x:v>
      </x:c>
      <x:c r="H44" s="12" t="n">
        <x:v>222</x:v>
      </x:c>
      <x:c r="I44" s="12" t="n">
        <x:v>227</x:v>
      </x:c>
      <x:c r="J44" s="12" t="n">
        <x:v>-5</x:v>
      </x:c>
      <x:c r="K44" s="12" t="n">
        <x:v>225.8</x:v>
      </x:c>
      <x:c r="L44" s="12" t="n">
        <x:v>10.4</x:v>
      </x:c>
      <x:c r="M44" s="12" t="n">
        <x:v>25.6</x:v>
      </x:c>
      <x:c r="N44" s="11" t="str">
        <x:v>Low</x:v>
      </x:c>
      <x:c r="O44" s="13" t="n">
        <x:v>19</x:v>
      </x:c>
      <x:c r="P44" s="13" t="n">
        <x:v>10</x:v>
      </x:c>
      <x:c r="Q44" s="11" t="str">
        <x:v>Ques</x:v>
      </x:c>
      <x:c r="R44" s="11" t="str">
        <x:v>Veteran model: 2025 form, prior-year trend and same team pass/run forecast; team pass volume #19, rush volume #10</x:v>
      </x:c>
    </x:row>
    <x:row r="45" ht="19" customHeight="1">
      <x:c r="A45" s="13" t="n">
        <x:v>41</x:v>
      </x:c>
      <x:c r="B45" s="12" t="n">
        <x:v>34.2</x:v>
      </x:c>
      <x:c r="C45" s="12" t="n">
        <x:f>B45-A45</x:f>
        <x:v>-6.799999999999997</x:v>
      </x:c>
      <x:c r="D45" s="11" t="str">
        <x:v>Tee Higgins</x:v>
      </x:c>
      <x:c r="E45" s="11" t="str">
        <x:v>WR</x:v>
      </x:c>
      <x:c r="F45" s="11" t="str">
        <x:v>CIN</x:v>
      </x:c>
      <x:c r="G45" s="13" t="n">
        <x:v>6</x:v>
      </x:c>
      <x:c r="H45" s="12" t="n">
        <x:v>216.3</x:v>
      </x:c>
      <x:c r="I45" s="12" t="n">
        <x:v>224</x:v>
      </x:c>
      <x:c r="J45" s="12" t="n">
        <x:v>-7.7</x:v>
      </x:c>
      <x:c r="K45" s="12" t="n">
        <x:v>219</x:v>
      </x:c>
      <x:c r="L45" s="12" t="n">
        <x:v>12</x:v>
      </x:c>
      <x:c r="M45" s="12" t="n">
        <x:v>25.6</x:v>
      </x:c>
      <x:c r="N45" s="11" t="str">
        <x:v>High</x:v>
      </x:c>
      <x:c r="O45" s="13" t="n">
        <x:v>1</x:v>
      </x:c>
      <x:c r="P45" s="13" t="n">
        <x:v>31</x:v>
      </x:c>
      <x:c r="Q45" s="11"/>
      <x:c r="R45" s="11" t="str">
        <x:v>Veteran model: 2025 form, prior-year trend and same team pass/run forecast; team pass volume #1, rush volume #31</x:v>
      </x:c>
    </x:row>
    <x:row r="46" ht="19" customHeight="1">
      <x:c r="A46" s="13" t="n">
        <x:v>42</x:v>
      </x:c>
      <x:c r="B46" s="12" t="n">
        <x:v>34.8</x:v>
      </x:c>
      <x:c r="C46" s="12" t="n">
        <x:f>B46-A46</x:f>
        <x:v>-7.200000000000003</x:v>
      </x:c>
      <x:c r="D46" s="11" t="str">
        <x:v>Tetairoa McMillan</x:v>
      </x:c>
      <x:c r="E46" s="11" t="str">
        <x:v>WR</x:v>
      </x:c>
      <x:c r="F46" s="11" t="str">
        <x:v>CAR</x:v>
      </x:c>
      <x:c r="G46" s="13" t="n">
        <x:v>5</x:v>
      </x:c>
      <x:c r="H46" s="12" t="n">
        <x:v>210.6</x:v>
      </x:c>
      <x:c r="I46" s="12" t="n">
        <x:v>223</x:v>
      </x:c>
      <x:c r="J46" s="12" t="n">
        <x:v>-12.4</x:v>
      </x:c>
      <x:c r="K46" s="12" t="n">
        <x:v>216.8</x:v>
      </x:c>
      <x:c r="L46" s="12" t="n">
        <x:v>14.2</x:v>
      </x:c>
      <x:c r="M46" s="12" t="n">
        <x:v>25.5</x:v>
      </x:c>
      <x:c r="N46" s="11" t="str">
        <x:v>Medium</x:v>
      </x:c>
      <x:c r="O46" s="13" t="n">
        <x:v>22</x:v>
      </x:c>
      <x:c r="P46" s="13" t="n">
        <x:v>23</x:v>
      </x:c>
      <x:c r="Q46" s="11"/>
      <x:c r="R46" s="11" t="str">
        <x:v>Veteran model: 2025 form, prior-year trend and same team pass/run forecast; team pass volume #22, rush volume #23</x:v>
      </x:c>
    </x:row>
    <x:row r="47" ht="19" customHeight="1">
      <x:c r="A47" s="13" t="n">
        <x:v>43</x:v>
      </x:c>
      <x:c r="B47" s="12" t="n">
        <x:v>44.7</x:v>
      </x:c>
      <x:c r="C47" s="12" t="n">
        <x:f>B47-A47</x:f>
        <x:v>1.7000000000000028</x:v>
      </x:c>
      <x:c r="D47" s="11" t="str">
        <x:v>Travis Etienne</x:v>
      </x:c>
      <x:c r="E47" s="11" t="str">
        <x:v>RB</x:v>
      </x:c>
      <x:c r="F47" s="11" t="str">
        <x:v>NO</x:v>
      </x:c>
      <x:c r="G47" s="13" t="n">
        <x:v>8</x:v>
      </x:c>
      <x:c r="H47" s="12" t="n">
        <x:v>211.2</x:v>
      </x:c>
      <x:c r="I47" s="12" t="n">
        <x:v>208</x:v>
      </x:c>
      <x:c r="J47" s="12" t="n">
        <x:v>3.2</x:v>
      </x:c>
      <x:c r="K47" s="12" t="n">
        <x:v>210.1</x:v>
      </x:c>
      <x:c r="L47" s="12" t="n">
        <x:v>13.8</x:v>
      </x:c>
      <x:c r="M47" s="12" t="n">
        <x:v>24.4</x:v>
      </x:c>
      <x:c r="N47" s="11" t="str">
        <x:v>High</x:v>
      </x:c>
      <x:c r="O47" s="13" t="n">
        <x:v>8</x:v>
      </x:c>
      <x:c r="P47" s="13" t="n">
        <x:v>22</x:v>
      </x:c>
      <x:c r="Q47" s="11"/>
      <x:c r="R47" s="11" t="str">
        <x:v>Veteran model: 2025 form, prior-year trend and new team pass/run forecast; team pass volume #8, rush volume #22</x:v>
      </x:c>
    </x:row>
    <x:row r="48" ht="19" customHeight="1">
      <x:c r="A48" s="13" t="n">
        <x:v>44</x:v>
      </x:c>
      <x:c r="B48" s="12" t="n">
        <x:v>38.6</x:v>
      </x:c>
      <x:c r="C48" s="12" t="n">
        <x:f>B48-A48</x:f>
        <x:v>-5.399999999999999</x:v>
      </x:c>
      <x:c r="D48" s="11" t="str">
        <x:v>Ladd McConkey</x:v>
      </x:c>
      <x:c r="E48" s="11" t="str">
        <x:v>WR</x:v>
      </x:c>
      <x:c r="F48" s="11" t="str">
        <x:v>LAC</x:v>
      </x:c>
      <x:c r="G48" s="13" t="n">
        <x:v>7</x:v>
      </x:c>
      <x:c r="H48" s="12" t="n">
        <x:v>209.4</x:v>
      </x:c>
      <x:c r="I48" s="12" t="n">
        <x:v>228</x:v>
      </x:c>
      <x:c r="J48" s="12" t="n">
        <x:v>-18.6</x:v>
      </x:c>
      <x:c r="K48" s="12" t="n">
        <x:v>215.9</x:v>
      </x:c>
      <x:c r="L48" s="12" t="n">
        <x:v>12.9</x:v>
      </x:c>
      <x:c r="M48" s="12" t="n">
        <x:v>22.2</x:v>
      </x:c>
      <x:c r="N48" s="11" t="str">
        <x:v>High</x:v>
      </x:c>
      <x:c r="O48" s="13" t="n">
        <x:v>14</x:v>
      </x:c>
      <x:c r="P48" s="13" t="n">
        <x:v>16</x:v>
      </x:c>
      <x:c r="Q48" s="11"/>
      <x:c r="R48" s="11" t="str">
        <x:v>Veteran model: 2025 form, prior-year trend and same team pass/run forecast; team pass volume #14, rush volume #16</x:v>
      </x:c>
    </x:row>
    <x:row r="49" ht="19" customHeight="1">
      <x:c r="A49" s="13" t="n">
        <x:v>45</x:v>
      </x:c>
      <x:c r="B49" s="12" t="n">
        <x:v>20.3</x:v>
      </x:c>
      <x:c r="C49" s="12" t="n">
        <x:f>B49-A49</x:f>
        <x:v>-24.7</x:v>
      </x:c>
      <x:c r="D49" s="11" t="str">
        <x:v>Derrick Henry</x:v>
      </x:c>
      <x:c r="E49" s="11" t="str">
        <x:v>RB</x:v>
      </x:c>
      <x:c r="F49" s="11" t="str">
        <x:v>BAL</x:v>
      </x:c>
      <x:c r="G49" s="13" t="n">
        <x:v>13</x:v>
      </x:c>
      <x:c r="H49" s="12" t="n">
        <x:v>210.5</x:v>
      </x:c>
      <x:c r="I49" s="12" t="n">
        <x:v>247</x:v>
      </x:c>
      <x:c r="J49" s="12" t="n">
        <x:v>-36.5</x:v>
      </x:c>
      <x:c r="K49" s="12" t="n">
        <x:v>223.3</x:v>
      </x:c>
      <x:c r="L49" s="12" t="n">
        <x:v>12.8</x:v>
      </x:c>
      <x:c r="M49" s="12" t="n">
        <x:v>22.1</x:v>
      </x:c>
      <x:c r="N49" s="11" t="str">
        <x:v>High</x:v>
      </x:c>
      <x:c r="O49" s="13" t="n">
        <x:v>32</x:v>
      </x:c>
      <x:c r="P49" s="13" t="n">
        <x:v>1</x:v>
      </x:c>
      <x:c r="Q49" s="11"/>
      <x:c r="R49" s="11" t="str">
        <x:v>Veteran model: 2025 form, prior-year trend and same team pass/run forecast; team pass volume #32, rush volume #1</x:v>
      </x:c>
    </x:row>
    <x:row r="50" ht="19" customHeight="1">
      <x:c r="A50" s="13" t="n">
        <x:v>46</x:v>
      </x:c>
      <x:c r="B50" s="12" t="n">
        <x:v>108.9</x:v>
      </x:c>
      <x:c r="C50" s="12" t="n">
        <x:f>B50-A50</x:f>
        <x:v>62.900000000000006</x:v>
      </x:c>
      <x:c r="D50" s="11" t="str">
        <x:v>Quentin Johnston</x:v>
      </x:c>
      <x:c r="E50" s="11" t="str">
        <x:v>WR</x:v>
      </x:c>
      <x:c r="F50" s="11" t="str">
        <x:v>LAC</x:v>
      </x:c>
      <x:c r="G50" s="13" t="n">
        <x:v>7</x:v>
      </x:c>
      <x:c r="H50" s="12" t="n">
        <x:v>207.2</x:v>
      </x:c>
      <x:c r="I50" s="12" t="n">
        <x:v>164</x:v>
      </x:c>
      <x:c r="J50" s="12" t="n">
        <x:v>43.2</x:v>
      </x:c>
      <x:c r="K50" s="12" t="n">
        <x:v>192.1</x:v>
      </x:c>
      <x:c r="L50" s="12" t="n">
        <x:v>13.1</x:v>
      </x:c>
      <x:c r="M50" s="12" t="n">
        <x:v>20.9</x:v>
      </x:c>
      <x:c r="N50" s="11" t="str">
        <x:v>High</x:v>
      </x:c>
      <x:c r="O50" s="13" t="n">
        <x:v>14</x:v>
      </x:c>
      <x:c r="P50" s="13" t="n">
        <x:v>16</x:v>
      </x:c>
      <x:c r="Q50" s="11" t="str">
        <x:v>Ques</x:v>
      </x:c>
      <x:c r="R50" s="11" t="str">
        <x:v>Veteran model: 2025 form, prior-year trend and same team pass/run forecast; team pass volume #14, rush volume #16</x:v>
      </x:c>
    </x:row>
    <x:row r="51" ht="19" customHeight="1">
      <x:c r="A51" s="13" t="n">
        <x:v>47</x:v>
      </x:c>
      <x:c r="B51" s="12" t="n">
        <x:v>48.2</x:v>
      </x:c>
      <x:c r="C51" s="12" t="n">
        <x:f>B51-A51</x:f>
        <x:v>1.2000000000000028</x:v>
      </x:c>
      <x:c r="D51" s="11" t="str">
        <x:v>Davante Adams</x:v>
      </x:c>
      <x:c r="E51" s="11" t="str">
        <x:v>WR</x:v>
      </x:c>
      <x:c r="F51" s="11" t="str">
        <x:v>LAR</x:v>
      </x:c>
      <x:c r="G51" s="13" t="n">
        <x:v>11</x:v>
      </x:c>
      <x:c r="H51" s="12" t="n">
        <x:v>209.8</x:v>
      </x:c>
      <x:c r="I51" s="12" t="n">
        <x:v>193</x:v>
      </x:c>
      <x:c r="J51" s="12" t="n">
        <x:v>16.8</x:v>
      </x:c>
      <x:c r="K51" s="12" t="n">
        <x:v>204</x:v>
      </x:c>
      <x:c r="L51" s="12" t="n">
        <x:v>11.1</x:v>
      </x:c>
      <x:c r="M51" s="12" t="n">
        <x:v>19.4</x:v>
      </x:c>
      <x:c r="N51" s="11" t="str">
        <x:v>High</x:v>
      </x:c>
      <x:c r="O51" s="13" t="n">
        <x:v>7</x:v>
      </x:c>
      <x:c r="P51" s="13" t="n">
        <x:v>14</x:v>
      </x:c>
      <x:c r="Q51" s="11"/>
      <x:c r="R51" s="11" t="str">
        <x:v>Veteran model: 2025 form, prior-year trend and same team pass/run forecast; team pass volume #7, rush volume #14</x:v>
      </x:c>
    </x:row>
    <x:row r="52" ht="19" customHeight="1">
      <x:c r="A52" s="13" t="n">
        <x:v>48</x:v>
      </x:c>
      <x:c r="B52" s="12" t="n">
        <x:v>121.1</x:v>
      </x:c>
      <x:c r="C52" s="12" t="n">
        <x:f>B52-A52</x:f>
        <x:v>73.1</x:v>
      </x:c>
      <x:c r="D52" s="11" t="str">
        <x:v>Bo Nix</x:v>
      </x:c>
      <x:c r="E52" s="11" t="str">
        <x:v>QB</x:v>
      </x:c>
      <x:c r="F52" s="11" t="str">
        <x:v>DEN</x:v>
      </x:c>
      <x:c r="G52" s="13" t="n">
        <x:v>10</x:v>
      </x:c>
      <x:c r="H52" s="12" t="n">
        <x:v>304.3</x:v>
      </x:c>
      <x:c r="I52" s="12" t="n">
        <x:v>296</x:v>
      </x:c>
      <x:c r="J52" s="12" t="n">
        <x:v>8.3</x:v>
      </x:c>
      <x:c r="K52" s="12" t="n">
        <x:v>301.4</x:v>
      </x:c>
      <x:c r="L52" s="12" t="n">
        <x:v>14.4</x:v>
      </x:c>
      <x:c r="M52" s="12" t="n">
        <x:v>18.7</x:v>
      </x:c>
      <x:c r="N52" s="11" t="str">
        <x:v>High</x:v>
      </x:c>
      <x:c r="O52" s="13" t="n">
        <x:v>6</x:v>
      </x:c>
      <x:c r="P52" s="13" t="n">
        <x:v>19</x:v>
      </x:c>
      <x:c r="Q52" s="11"/>
      <x:c r="R52" s="11" t="str">
        <x:v>Veteran model: 2025 form, prior-year trend and same team pass/run forecast; team pass volume #6, rush volume #19</x:v>
      </x:c>
    </x:row>
    <x:row r="53" ht="19" customHeight="1">
      <x:c r="A53" s="13" t="n">
        <x:v>49</x:v>
      </x:c>
      <x:c r="B53" s="12" t="n">
        <x:v>52.2</x:v>
      </x:c>
      <x:c r="C53" s="12" t="n">
        <x:f>B53-A53</x:f>
        <x:v>3.200000000000003</x:v>
      </x:c>
      <x:c r="D53" s="11" t="str">
        <x:v>TreVeyon Henderson</x:v>
      </x:c>
      <x:c r="E53" s="11" t="str">
        <x:v>RB</x:v>
      </x:c>
      <x:c r="F53" s="11" t="str">
        <x:v>NE</x:v>
      </x:c>
      <x:c r="G53" s="13" t="n">
        <x:v>11</x:v>
      </x:c>
      <x:c r="H53" s="12" t="n">
        <x:v>204</x:v>
      </x:c>
      <x:c r="I53" s="12" t="n">
        <x:v>171</x:v>
      </x:c>
      <x:c r="J53" s="12" t="n">
        <x:v>33</x:v>
      </x:c>
      <x:c r="K53" s="12" t="n">
        <x:v>187.5</x:v>
      </x:c>
      <x:c r="L53" s="12" t="n">
        <x:v>13.6</x:v>
      </x:c>
      <x:c r="M53" s="12" t="n">
        <x:v>18.3</x:v>
      </x:c>
      <x:c r="N53" s="11" t="str">
        <x:v>Medium</x:v>
      </x:c>
      <x:c r="O53" s="13" t="n">
        <x:v>27</x:v>
      </x:c>
      <x:c r="P53" s="13" t="n">
        <x:v>12</x:v>
      </x:c>
      <x:c r="Q53" s="11"/>
      <x:c r="R53" s="11" t="str">
        <x:v>Veteran model: 2025 form, prior-year trend and same team pass/run forecast; team pass volume #27, rush volume #12</x:v>
      </x:c>
    </x:row>
    <x:row r="54" ht="19" customHeight="1">
      <x:c r="A54" s="13" t="n">
        <x:v>50</x:v>
      </x:c>
      <x:c r="B54" s="12" t="n">
        <x:v>53.2</x:v>
      </x:c>
      <x:c r="C54" s="12" t="n">
        <x:f>B54-A54</x:f>
        <x:v>3.200000000000003</x:v>
      </x:c>
      <x:c r="D54" s="11" t="str">
        <x:v>Quinshon Judkins</x:v>
      </x:c>
      <x:c r="E54" s="11" t="str">
        <x:v>RB</x:v>
      </x:c>
      <x:c r="F54" s="11" t="str">
        <x:v>CLE</x:v>
      </x:c>
      <x:c r="G54" s="13" t="n">
        <x:v>11</x:v>
      </x:c>
      <x:c r="H54" s="12" t="n">
        <x:v>204</x:v>
      </x:c>
      <x:c r="I54" s="12" t="n">
        <x:v>196</x:v>
      </x:c>
      <x:c r="J54" s="12" t="n">
        <x:v>8</x:v>
      </x:c>
      <x:c r="K54" s="12" t="n">
        <x:v>200</x:v>
      </x:c>
      <x:c r="L54" s="12" t="n">
        <x:v>12.9</x:v>
      </x:c>
      <x:c r="M54" s="12" t="n">
        <x:v>17.4</x:v>
      </x:c>
      <x:c r="N54" s="11" t="str">
        <x:v>Medium</x:v>
      </x:c>
      <x:c r="O54" s="13" t="n">
        <x:v>4</x:v>
      </x:c>
      <x:c r="P54" s="13" t="n">
        <x:v>26</x:v>
      </x:c>
      <x:c r="Q54" s="11" t="str">
        <x:v>Ques</x:v>
      </x:c>
      <x:c r="R54" s="11" t="str">
        <x:v>Veteran model: 2025 form, prior-year trend and same team pass/run forecast; team pass volume #4, rush volume #26</x:v>
      </x:c>
    </x:row>
    <x:row r="55" ht="19" customHeight="1">
      <x:c r="A55" s="13" t="n">
        <x:v>51</x:v>
      </x:c>
      <x:c r="B55" s="12" t="n">
        <x:v>80.9</x:v>
      </x:c>
      <x:c r="C55" s="12" t="n">
        <x:f>B55-A55</x:f>
        <x:v>29.900000000000006</x:v>
      </x:c>
      <x:c r="D55" s="11" t="str">
        <x:v>Courtland Sutton</x:v>
      </x:c>
      <x:c r="E55" s="11" t="str">
        <x:v>WR</x:v>
      </x:c>
      <x:c r="F55" s="11" t="str">
        <x:v>DEN</x:v>
      </x:c>
      <x:c r="G55" s="13" t="n">
        <x:v>10</x:v>
      </x:c>
      <x:c r="H55" s="12" t="n">
        <x:v>203.9</x:v>
      </x:c>
      <x:c r="I55" s="12" t="n">
        <x:v>174</x:v>
      </x:c>
      <x:c r="J55" s="12" t="n">
        <x:v>29.9</x:v>
      </x:c>
      <x:c r="K55" s="12" t="n">
        <x:v>193.4</x:v>
      </x:c>
      <x:c r="L55" s="12" t="n">
        <x:v>12.3</x:v>
      </x:c>
      <x:c r="M55" s="12" t="n">
        <x:v>17.2</x:v>
      </x:c>
      <x:c r="N55" s="11" t="str">
        <x:v>High</x:v>
      </x:c>
      <x:c r="O55" s="13" t="n">
        <x:v>6</x:v>
      </x:c>
      <x:c r="P55" s="13" t="n">
        <x:v>19</x:v>
      </x:c>
      <x:c r="Q55" s="11"/>
      <x:c r="R55" s="11" t="str">
        <x:v>Veteran model: 2025 form, prior-year trend and same team pass/run forecast; team pass volume #6, rush volume #19</x:v>
      </x:c>
    </x:row>
    <x:row r="56" ht="19" customHeight="1">
      <x:c r="A56" s="13" t="n">
        <x:v>52</x:v>
      </x:c>
      <x:c r="B56" s="12" t="n">
        <x:v>65.6</x:v>
      </x:c>
      <x:c r="C56" s="12" t="n">
        <x:f>B56-A56</x:f>
        <x:v>13.599999999999994</x:v>
      </x:c>
      <x:c r="D56" s="11" t="str">
        <x:v>Tucker Kraft</x:v>
      </x:c>
      <x:c r="E56" s="11" t="str">
        <x:v>TE</x:v>
      </x:c>
      <x:c r="F56" s="11" t="str">
        <x:v>GB</x:v>
      </x:c>
      <x:c r="G56" s="13" t="n">
        <x:v>11</x:v>
      </x:c>
      <x:c r="H56" s="12" t="n">
        <x:v>180.1</x:v>
      </x:c>
      <x:c r="I56" s="12" t="n">
        <x:v>174</x:v>
      </x:c>
      <x:c r="J56" s="12" t="n">
        <x:v>6.1</x:v>
      </x:c>
      <x:c r="K56" s="12" t="n">
        <x:v>177</x:v>
      </x:c>
      <x:c r="L56" s="12" t="n">
        <x:v>13.7</x:v>
      </x:c>
      <x:c r="M56" s="12" t="n">
        <x:v>17.1</x:v>
      </x:c>
      <x:c r="N56" s="11" t="str">
        <x:v>Medium</x:v>
      </x:c>
      <x:c r="O56" s="13" t="n">
        <x:v>30</x:v>
      </x:c>
      <x:c r="P56" s="13" t="n">
        <x:v>4</x:v>
      </x:c>
      <x:c r="Q56" s="11" t="str">
        <x:v>Ques</x:v>
      </x:c>
      <x:c r="R56" s="11" t="str">
        <x:v>Veteran model: 2025 form, prior-year trend and same team pass/run forecast; team pass volume #30, rush volume #4</x:v>
      </x:c>
    </x:row>
    <x:row r="57" ht="19" customHeight="1">
      <x:c r="A57" s="13" t="n">
        <x:v>53</x:v>
      </x:c>
      <x:c r="B57" s="12" t="n">
        <x:v>64</x:v>
      </x:c>
      <x:c r="C57" s="12" t="n">
        <x:f>B57-A57</x:f>
        <x:v>11</x:v>
      </x:c>
      <x:c r="D57" s="11" t="str">
        <x:v>Carnell Tate</x:v>
      </x:c>
      <x:c r="E57" s="11" t="str">
        <x:v>WR</x:v>
      </x:c>
      <x:c r="F57" s="11" t="str">
        <x:v>TEN</x:v>
      </x:c>
      <x:c r="G57" s="13" t="n">
        <x:v>9</x:v>
      </x:c>
      <x:c r="H57" s="12" t="n">
        <x:v>196.4</x:v>
      </x:c>
      <x:c r="I57" s="12" t="n">
        <x:v>177</x:v>
      </x:c>
      <x:c r="J57" s="12" t="n">
        <x:v>19.4</x:v>
      </x:c>
      <x:c r="K57" s="12" t="n">
        <x:v>181.8</x:v>
      </x:c>
      <x:c r="L57" s="12" t="n">
        <x:v>17</x:v>
      </x:c>
      <x:c r="M57" s="12" t="n">
        <x:v>16.3</x:v>
      </x:c>
      <x:c r="N57" s="11" t="str">
        <x:v>Low</x:v>
      </x:c>
      <x:c r="O57" s="13" t="n">
        <x:v>18</x:v>
      </x:c>
      <x:c r="P57" s="13" t="n">
        <x:v>30</x:v>
      </x:c>
      <x:c r="Q57" s="11" t="str">
        <x:v>Ques</x:v>
      </x:c>
      <x:c r="R57" s="11" t="str">
        <x:v>Rookie model: pick 4, age and destination-team environment; team pass volume #18, rush volume #30</x:v>
      </x:c>
    </x:row>
    <x:row r="58" ht="19" customHeight="1">
      <x:c r="A58" s="13" t="n">
        <x:v>54</x:v>
      </x:c>
      <x:c r="B58" s="12" t="n">
        <x:v>39.3</x:v>
      </x:c>
      <x:c r="C58" s="12" t="n">
        <x:f>B58-A58</x:f>
        <x:v>-14.700000000000003</x:v>
      </x:c>
      <x:c r="D58" s="11" t="str">
        <x:v>Bucky Irving</x:v>
      </x:c>
      <x:c r="E58" s="11" t="str">
        <x:v>RB</x:v>
      </x:c>
      <x:c r="F58" s="11" t="str">
        <x:v>TB</x:v>
      </x:c>
      <x:c r="G58" s="13" t="n">
        <x:v>10</x:v>
      </x:c>
      <x:c r="H58" s="12" t="n">
        <x:v>204.4</x:v>
      </x:c>
      <x:c r="I58" s="12" t="n">
        <x:v>197</x:v>
      </x:c>
      <x:c r="J58" s="12" t="n">
        <x:v>7.4</x:v>
      </x:c>
      <x:c r="K58" s="12" t="n">
        <x:v>200.7</x:v>
      </x:c>
      <x:c r="L58" s="12" t="n">
        <x:v>11.7</x:v>
      </x:c>
      <x:c r="M58" s="12" t="n">
        <x:v>16</x:v>
      </x:c>
      <x:c r="N58" s="11" t="str">
        <x:v>Medium</x:v>
      </x:c>
      <x:c r="O58" s="13" t="n">
        <x:v>12</x:v>
      </x:c>
      <x:c r="P58" s="13" t="n">
        <x:v>11</x:v>
      </x:c>
      <x:c r="Q58" s="11"/>
      <x:c r="R58" s="11" t="str">
        <x:v>Veteran model: 2025 form, prior-year trend and same team pass/run forecast; team pass volume #12, rush volume #11</x:v>
      </x:c>
    </x:row>
    <x:row r="59" ht="19" customHeight="1">
      <x:c r="A59" s="13" t="n">
        <x:v>55</x:v>
      </x:c>
      <x:c r="B59" s="12" t="n">
        <x:v>40.5</x:v>
      </x:c>
      <x:c r="C59" s="12" t="n">
        <x:f>B59-A59</x:f>
        <x:v>-14.5</x:v>
      </x:c>
      <x:c r="D59" s="11" t="str">
        <x:v>Emeka Egbuka</x:v>
      </x:c>
      <x:c r="E59" s="11" t="str">
        <x:v>WR</x:v>
      </x:c>
      <x:c r="F59" s="11" t="str">
        <x:v>TB</x:v>
      </x:c>
      <x:c r="G59" s="13" t="n">
        <x:v>10</x:v>
      </x:c>
      <x:c r="H59" s="12" t="n">
        <x:v>198.9</x:v>
      </x:c>
      <x:c r="I59" s="12" t="n">
        <x:v>224</x:v>
      </x:c>
      <x:c r="J59" s="12" t="n">
        <x:v>-25.1</x:v>
      </x:c>
      <x:c r="K59" s="12" t="n">
        <x:v>211.4</x:v>
      </x:c>
      <x:c r="L59" s="12" t="n">
        <x:v>14.2</x:v>
      </x:c>
      <x:c r="M59" s="12" t="n">
        <x:v>15.7</x:v>
      </x:c>
      <x:c r="N59" s="11" t="str">
        <x:v>Medium</x:v>
      </x:c>
      <x:c r="O59" s="13" t="n">
        <x:v>12</x:v>
      </x:c>
      <x:c r="P59" s="13" t="n">
        <x:v>11</x:v>
      </x:c>
      <x:c r="Q59" s="11" t="str">
        <x:v>Ques</x:v>
      </x:c>
      <x:c r="R59" s="11" t="str">
        <x:v>Veteran model: 2025 form, prior-year trend and same team pass/run forecast; team pass volume #12, rush volume #11</x:v>
      </x:c>
    </x:row>
    <x:row r="60" ht="19" customHeight="1">
      <x:c r="A60" s="13" t="n">
        <x:v>56</x:v>
      </x:c>
      <x:c r="B60" s="12" t="n">
        <x:v>99.6</x:v>
      </x:c>
      <x:c r="C60" s="12" t="n">
        <x:f>B60-A60</x:f>
        <x:v>43.599999999999994</x:v>
      </x:c>
      <x:c r="D60" s="11" t="str">
        <x:v>Matthew Stafford</x:v>
      </x:c>
      <x:c r="E60" s="11" t="str">
        <x:v>QB</x:v>
      </x:c>
      <x:c r="F60" s="11" t="str">
        <x:v>LAR</x:v>
      </x:c>
      <x:c r="G60" s="13" t="n">
        <x:v>11</x:v>
      </x:c>
      <x:c r="H60" s="12" t="n">
        <x:v>299.7</x:v>
      </x:c>
      <x:c r="I60" s="12" t="n">
        <x:v>280</x:v>
      </x:c>
      <x:c r="J60" s="12" t="n">
        <x:v>19.7</x:v>
      </x:c>
      <x:c r="K60" s="12" t="n">
        <x:v>292.8</x:v>
      </x:c>
      <x:c r="L60" s="12" t="n">
        <x:v>15.1</x:v>
      </x:c>
      <x:c r="M60" s="12" t="n">
        <x:v>15.5</x:v>
      </x:c>
      <x:c r="N60" s="11" t="str">
        <x:v>High</x:v>
      </x:c>
      <x:c r="O60" s="13" t="n">
        <x:v>7</x:v>
      </x:c>
      <x:c r="P60" s="13" t="n">
        <x:v>14</x:v>
      </x:c>
      <x:c r="Q60" s="11"/>
      <x:c r="R60" s="11" t="str">
        <x:v>Veteran model: 2025 form, prior-year trend and same team pass/run forecast; team pass volume #7, rush volume #14</x:v>
      </x:c>
    </x:row>
    <x:row r="61" ht="19" customHeight="1">
      <x:c r="A61" s="13" t="n">
        <x:v>57</x:v>
      </x:c>
      <x:c r="B61" s="12" t="n">
        <x:v>62.9</x:v>
      </x:c>
      <x:c r="C61" s="12" t="n">
        <x:f>B61-A61</x:f>
        <x:v>5.899999999999999</x:v>
      </x:c>
      <x:c r="D61" s="11" t="str">
        <x:v>Jalen Hurts</x:v>
      </x:c>
      <x:c r="E61" s="11" t="str">
        <x:v>QB</x:v>
      </x:c>
      <x:c r="F61" s="11" t="str">
        <x:v>PHI</x:v>
      </x:c>
      <x:c r="G61" s="13" t="n">
        <x:v>10</x:v>
      </x:c>
      <x:c r="H61" s="12" t="n">
        <x:v>301.6</x:v>
      </x:c>
      <x:c r="I61" s="12" t="n">
        <x:v>311</x:v>
      </x:c>
      <x:c r="J61" s="12" t="n">
        <x:v>-9.4</x:v>
      </x:c>
      <x:c r="K61" s="12" t="n">
        <x:v>304.9</x:v>
      </x:c>
      <x:c r="L61" s="12" t="n">
        <x:v>13.1</x:v>
      </x:c>
      <x:c r="M61" s="12" t="n">
        <x:v>14.9</x:v>
      </x:c>
      <x:c r="N61" s="11" t="str">
        <x:v>High</x:v>
      </x:c>
      <x:c r="O61" s="13" t="n">
        <x:v>31</x:v>
      </x:c>
      <x:c r="P61" s="13" t="n">
        <x:v>2</x:v>
      </x:c>
      <x:c r="Q61" s="11"/>
      <x:c r="R61" s="11" t="str">
        <x:v>Veteran model: 2025 form, prior-year trend and same team pass/run forecast; team pass volume #31, rush volume #2</x:v>
      </x:c>
    </x:row>
    <x:row r="62" ht="19" customHeight="1">
      <x:c r="A62" s="13" t="n">
        <x:v>58</x:v>
      </x:c>
      <x:c r="B62" s="12" t="n">
        <x:v>107.2</x:v>
      </x:c>
      <x:c r="C62" s="12" t="n">
        <x:f>B62-A62</x:f>
        <x:v>49.2</x:v>
      </x:c>
      <x:c r="D62" s="11" t="str">
        <x:v>Patrick Mahomes</x:v>
      </x:c>
      <x:c r="E62" s="11" t="str">
        <x:v>QB</x:v>
      </x:c>
      <x:c r="F62" s="11" t="str">
        <x:v>KC</x:v>
      </x:c>
      <x:c r="G62" s="13" t="n">
        <x:v>5</x:v>
      </x:c>
      <x:c r="H62" s="12" t="n">
        <x:v>302.1</x:v>
      </x:c>
      <x:c r="I62" s="12" t="n">
        <x:v>287</x:v>
      </x:c>
      <x:c r="J62" s="12" t="n">
        <x:v>15.1</x:v>
      </x:c>
      <x:c r="K62" s="12" t="n">
        <x:v>296.8</x:v>
      </x:c>
      <x:c r="L62" s="12" t="n">
        <x:v>12.3</x:v>
      </x:c>
      <x:c r="M62" s="12" t="n">
        <x:v>14.4</x:v>
      </x:c>
      <x:c r="N62" s="11" t="str">
        <x:v>High</x:v>
      </x:c>
      <x:c r="O62" s="13" t="n">
        <x:v>5</x:v>
      </x:c>
      <x:c r="P62" s="13" t="n">
        <x:v>25</x:v>
      </x:c>
      <x:c r="Q62" s="11" t="str">
        <x:v>Ques</x:v>
      </x:c>
      <x:c r="R62" s="11" t="str">
        <x:v>Veteran model: 2025 form, prior-year trend and same team pass/run forecast; team pass volume #5, rush volume #25</x:v>
      </x:c>
    </x:row>
    <x:row r="63" ht="19" customHeight="1">
      <x:c r="A63" s="13" t="n">
        <x:v>59</x:v>
      </x:c>
      <x:c r="B63" s="12" t="n">
        <x:v>45.8</x:v>
      </x:c>
      <x:c r="C63" s="12" t="n">
        <x:f>B63-A63</x:f>
        <x:v>-13.200000000000003</x:v>
      </x:c>
      <x:c r="D63" s="11" t="str">
        <x:v>Garrett Wilson</x:v>
      </x:c>
      <x:c r="E63" s="11" t="str">
        <x:v>WR</x:v>
      </x:c>
      <x:c r="F63" s="11" t="str">
        <x:v>NYJ</x:v>
      </x:c>
      <x:c r="G63" s="13" t="n">
        <x:v>13</x:v>
      </x:c>
      <x:c r="H63" s="12" t="n">
        <x:v>203.5</x:v>
      </x:c>
      <x:c r="I63" s="12" t="n">
        <x:v>225</x:v>
      </x:c>
      <x:c r="J63" s="12" t="n">
        <x:v>-21.5</x:v>
      </x:c>
      <x:c r="K63" s="12" t="n">
        <x:v>214.3</x:v>
      </x:c>
      <x:c r="L63" s="12" t="n">
        <x:v>10.4</x:v>
      </x:c>
      <x:c r="M63" s="12" t="n">
        <x:v>14.3</x:v>
      </x:c>
      <x:c r="N63" s="11" t="str">
        <x:v>Medium</x:v>
      </x:c>
      <x:c r="O63" s="13" t="n">
        <x:v>20</x:v>
      </x:c>
      <x:c r="P63" s="13" t="n">
        <x:v>28</x:v>
      </x:c>
      <x:c r="Q63" s="11"/>
      <x:c r="R63" s="11" t="str">
        <x:v>Veteran model: 2025 form, prior-year trend and same team pass/run forecast; team pass volume #20, rush volume #28</x:v>
      </x:c>
    </x:row>
    <x:row r="64" ht="19" customHeight="1">
      <x:c r="A64" s="13" t="n">
        <x:v>60</x:v>
      </x:c>
      <x:c r="B64" s="12" t="n">
        <x:v>72.4</x:v>
      </x:c>
      <x:c r="C64" s="12" t="n">
        <x:f>B64-A64</x:f>
        <x:v>12.400000000000006</x:v>
      </x:c>
      <x:c r="D64" s="11" t="str">
        <x:v>Brian Thomas</x:v>
      </x:c>
      <x:c r="E64" s="11" t="str">
        <x:v>WR</x:v>
      </x:c>
      <x:c r="F64" s="11" t="str">
        <x:v>JAX</x:v>
      </x:c>
      <x:c r="G64" s="13" t="n">
        <x:v>7</x:v>
      </x:c>
      <x:c r="H64" s="12" t="n">
        <x:v>197.8</x:v>
      </x:c>
      <x:c r="I64" s="12" t="n">
        <x:v>195</x:v>
      </x:c>
      <x:c r="J64" s="12" t="n">
        <x:v>2.8</x:v>
      </x:c>
      <x:c r="K64" s="12" t="n">
        <x:v>196.8</x:v>
      </x:c>
      <x:c r="L64" s="12" t="n">
        <x:v>13.7</x:v>
      </x:c>
      <x:c r="M64" s="12" t="n">
        <x:v>14.3</x:v>
      </x:c>
      <x:c r="N64" s="11" t="str">
        <x:v>High</x:v>
      </x:c>
      <x:c r="O64" s="13" t="n">
        <x:v>11</x:v>
      </x:c>
      <x:c r="P64" s="13" t="n">
        <x:v>15</x:v>
      </x:c>
      <x:c r="Q64" s="11"/>
      <x:c r="R64" s="11" t="str">
        <x:v>Veteran model: 2025 form, prior-year trend and same team pass/run forecast; team pass volume #11, rush volume #15</x:v>
      </x:c>
    </x:row>
    <x:row r="65" ht="19" customHeight="1">
      <x:c r="A65" s="13" t="n">
        <x:v>61</x:v>
      </x:c>
      <x:c r="B65" s="12" t="n">
        <x:v>104.5</x:v>
      </x:c>
      <x:c r="C65" s="12" t="n">
        <x:f>B65-A65</x:f>
        <x:v>43.5</x:v>
      </x:c>
      <x:c r="D65" s="11" t="str">
        <x:v>Jordan Addison</x:v>
      </x:c>
      <x:c r="E65" s="11" t="str">
        <x:v>WR</x:v>
      </x:c>
      <x:c r="F65" s="11" t="str">
        <x:v>MIN</x:v>
      </x:c>
      <x:c r="G65" s="13" t="n">
        <x:v>6</x:v>
      </x:c>
      <x:c r="H65" s="12" t="n">
        <x:v>196.6</x:v>
      </x:c>
      <x:c r="I65" s="12" t="n">
        <x:v>172</x:v>
      </x:c>
      <x:c r="J65" s="12" t="n">
        <x:v>24.6</x:v>
      </x:c>
      <x:c r="K65" s="12" t="n">
        <x:v>188</x:v>
      </x:c>
      <x:c r="L65" s="12" t="n">
        <x:v>14.5</x:v>
      </x:c>
      <x:c r="M65" s="12" t="n">
        <x:v>14.1</x:v>
      </x:c>
      <x:c r="N65" s="11" t="str">
        <x:v>High</x:v>
      </x:c>
      <x:c r="O65" s="13" t="n">
        <x:v>26</x:v>
      </x:c>
      <x:c r="P65" s="13" t="n">
        <x:v>27</x:v>
      </x:c>
      <x:c r="Q65" s="11"/>
      <x:c r="R65" s="11" t="str">
        <x:v>Veteran model: 2025 form, prior-year trend and same team pass/run forecast; team pass volume #26, rush volume #27</x:v>
      </x:c>
    </x:row>
    <x:row r="66" ht="19" customHeight="1">
      <x:c r="A66" s="13" t="n">
        <x:v>62</x:v>
      </x:c>
      <x:c r="B66" s="12" t="n">
        <x:v>43.7</x:v>
      </x:c>
      <x:c r="C66" s="12" t="n">
        <x:f>B66-A66</x:f>
        <x:v>-18.299999999999997</x:v>
      </x:c>
      <x:c r="D66" s="11" t="str">
        <x:v>Cam Skattebo</x:v>
      </x:c>
      <x:c r="E66" s="11" t="str">
        <x:v>RB</x:v>
      </x:c>
      <x:c r="F66" s="11" t="str">
        <x:v>NYG</x:v>
      </x:c>
      <x:c r="G66" s="13" t="n">
        <x:v>8</x:v>
      </x:c>
      <x:c r="H66" s="12" t="n">
        <x:v>200.8</x:v>
      </x:c>
      <x:c r="I66" s="12" t="n">
        <x:v>201</x:v>
      </x:c>
      <x:c r="J66" s="12" t="n">
        <x:v>-0.2</x:v>
      </x:c>
      <x:c r="K66" s="12" t="n">
        <x:v>200.9</x:v>
      </x:c>
      <x:c r="L66" s="12" t="n">
        <x:v>10.9</x:v>
      </x:c>
      <x:c r="M66" s="12" t="n">
        <x:v>12.6</x:v>
      </x:c>
      <x:c r="N66" s="11" t="str">
        <x:v>Medium</x:v>
      </x:c>
      <x:c r="O66" s="13" t="n">
        <x:v>19</x:v>
      </x:c>
      <x:c r="P66" s="13" t="n">
        <x:v>10</x:v>
      </x:c>
      <x:c r="Q66" s="11"/>
      <x:c r="R66" s="11" t="str">
        <x:v>Veteran model: 2025 form, prior-year trend and same team pass/run forecast; team pass volume #19, rush volume #10</x:v>
      </x:c>
    </x:row>
    <x:row r="67" ht="19" customHeight="1">
      <x:c r="A67" s="13" t="n">
        <x:v>63</x:v>
      </x:c>
      <x:c r="B67" s="12" t="n">
        <x:v>66.1</x:v>
      </x:c>
      <x:c r="C67" s="12" t="n">
        <x:f>B67-A67</x:f>
        <x:v>3.0999999999999943</x:v>
      </x:c>
      <x:c r="D67" s="11" t="str">
        <x:v>Rome Odunze</x:v>
      </x:c>
      <x:c r="E67" s="11" t="str">
        <x:v>WR</x:v>
      </x:c>
      <x:c r="F67" s="11" t="str">
        <x:v>CHI</x:v>
      </x:c>
      <x:c r="G67" s="13" t="n">
        <x:v>10</x:v>
      </x:c>
      <x:c r="H67" s="12" t="n">
        <x:v>193.6</x:v>
      </x:c>
      <x:c r="I67" s="12" t="n">
        <x:v>208</x:v>
      </x:c>
      <x:c r="J67" s="12" t="n">
        <x:v>-14.4</x:v>
      </x:c>
      <x:c r="K67" s="12" t="n">
        <x:v>198.7</x:v>
      </x:c>
      <x:c r="L67" s="12" t="n">
        <x:v>12.7</x:v>
      </x:c>
      <x:c r="M67" s="12" t="n">
        <x:v>10.1</x:v>
      </x:c>
      <x:c r="N67" s="11" t="str">
        <x:v>High</x:v>
      </x:c>
      <x:c r="O67" s="13" t="n">
        <x:v>13</x:v>
      </x:c>
      <x:c r="P67" s="13" t="n">
        <x:v>6</x:v>
      </x:c>
      <x:c r="Q67" s="11"/>
      <x:c r="R67" s="11" t="str">
        <x:v>Veteran model: 2025 form, prior-year trend and same team pass/run forecast; team pass volume #13, rush volume #6</x:v>
      </x:c>
    </x:row>
    <x:row r="68" ht="19" customHeight="1">
      <x:c r="A68" s="13" t="n">
        <x:v>64</x:v>
      </x:c>
      <x:c r="B68" s="12" t="n">
        <x:v>132.6</x:v>
      </x:c>
      <x:c r="C68" s="12" t="n">
        <x:f>B68-A68</x:f>
        <x:v>68.6</x:v>
      </x:c>
      <x:c r="D68" s="11" t="str">
        <x:v>Hunter Henry</x:v>
      </x:c>
      <x:c r="E68" s="11" t="str">
        <x:v>TE</x:v>
      </x:c>
      <x:c r="F68" s="11" t="str">
        <x:v>NE</x:v>
      </x:c>
      <x:c r="G68" s="13" t="n">
        <x:v>11</x:v>
      </x:c>
      <x:c r="H68" s="12" t="n">
        <x:v>171.3</x:v>
      </x:c>
      <x:c r="I68" s="12" t="n">
        <x:v>154</x:v>
      </x:c>
      <x:c r="J68" s="12" t="n">
        <x:v>17.3</x:v>
      </x:c>
      <x:c r="K68" s="12" t="n">
        <x:v>165.2</x:v>
      </x:c>
      <x:c r="L68" s="12" t="n">
        <x:v>12.7</x:v>
      </x:c>
      <x:c r="M68" s="12" t="n">
        <x:v>9.3</x:v>
      </x:c>
      <x:c r="N68" s="11" t="str">
        <x:v>High</x:v>
      </x:c>
      <x:c r="O68" s="13" t="n">
        <x:v>27</x:v>
      </x:c>
      <x:c r="P68" s="13" t="n">
        <x:v>12</x:v>
      </x:c>
      <x:c r="Q68" s="11"/>
      <x:c r="R68" s="11" t="str">
        <x:v>Veteran model: 2025 form, prior-year trend and same team pass/run forecast; team pass volume #27, rush volume #12</x:v>
      </x:c>
    </x:row>
    <x:row r="69" ht="19" customHeight="1">
      <x:c r="A69" s="13" t="n">
        <x:v>65</x:v>
      </x:c>
      <x:c r="B69" s="12" t="n">
        <x:v>90</x:v>
      </x:c>
      <x:c r="C69" s="12" t="n">
        <x:f>B69-A69</x:f>
        <x:v>25</x:v>
      </x:c>
      <x:c r="D69" s="11" t="str">
        <x:v>Dalton Kincaid</x:v>
      </x:c>
      <x:c r="E69" s="11" t="str">
        <x:v>TE</x:v>
      </x:c>
      <x:c r="F69" s="11" t="str">
        <x:v>BUF</x:v>
      </x:c>
      <x:c r="G69" s="13" t="n">
        <x:v>7</x:v>
      </x:c>
      <x:c r="H69" s="12" t="n">
        <x:v>169.8</x:v>
      </x:c>
      <x:c r="I69" s="12" t="n">
        <x:v>164</x:v>
      </x:c>
      <x:c r="J69" s="12" t="n">
        <x:v>5.8</x:v>
      </x:c>
      <x:c r="K69" s="12" t="n">
        <x:v>167.8</x:v>
      </x:c>
      <x:c r="L69" s="12" t="n">
        <x:v>13.6</x:v>
      </x:c>
      <x:c r="M69" s="12" t="n">
        <x:v>8.7</x:v>
      </x:c>
      <x:c r="N69" s="11" t="str">
        <x:v>High</x:v>
      </x:c>
      <x:c r="O69" s="13" t="n">
        <x:v>28</x:v>
      </x:c>
      <x:c r="P69" s="13" t="n">
        <x:v>3</x:v>
      </x:c>
      <x:c r="Q69" s="11"/>
      <x:c r="R69" s="11" t="str">
        <x:v>Veteran model: 2025 form, prior-year trend and same team pass/run forecast; team pass volume #28, rush volume #3</x:v>
      </x:c>
    </x:row>
    <x:row r="70" ht="19" customHeight="1">
      <x:c r="A70" s="13" t="n">
        <x:v>66</x:v>
      </x:c>
      <x:c r="B70" s="12" t="n">
        <x:v>19.9</x:v>
      </x:c>
      <x:c r="C70" s="12" t="n">
        <x:f>B70-A70</x:f>
        <x:v>-46.1</x:v>
      </x:c>
      <x:c r="D70" s="11" t="str">
        <x:v>Kenneth Walker</x:v>
      </x:c>
      <x:c r="E70" s="11" t="str">
        <x:v>RB</x:v>
      </x:c>
      <x:c r="F70" s="11" t="str">
        <x:v>KC</x:v>
      </x:c>
      <x:c r="G70" s="13" t="n">
        <x:v>5</x:v>
      </x:c>
      <x:c r="H70" s="12" t="n">
        <x:v>191.6</x:v>
      </x:c>
      <x:c r="I70" s="12" t="n">
        <x:v>244</x:v>
      </x:c>
      <x:c r="J70" s="12" t="n">
        <x:v>-52.4</x:v>
      </x:c>
      <x:c r="K70" s="12" t="n">
        <x:v>209.9</x:v>
      </x:c>
      <x:c r="L70" s="12" t="n">
        <x:v>13.6</x:v>
      </x:c>
      <x:c r="M70" s="12" t="n">
        <x:v>8.4</x:v>
      </x:c>
      <x:c r="N70" s="11" t="str">
        <x:v>High</x:v>
      </x:c>
      <x:c r="O70" s="13" t="n">
        <x:v>5</x:v>
      </x:c>
      <x:c r="P70" s="13" t="n">
        <x:v>25</x:v>
      </x:c>
      <x:c r="Q70" s="11"/>
      <x:c r="R70" s="11" t="str">
        <x:v>Veteran model: 2025 form, prior-year trend and new team pass/run forecast; team pass volume #5, rush volume #25</x:v>
      </x:c>
    </x:row>
    <x:row r="71" ht="19" customHeight="1">
      <x:c r="A71" s="13" t="n">
        <x:v>67</x:v>
      </x:c>
      <x:c r="B71" s="12" t="n">
        <x:v>176.1</x:v>
      </x:c>
      <x:c r="C71" s="12" t="n">
        <x:f>B71-A71</x:f>
        <x:v>109.1</x:v>
      </x:c>
      <x:c r="D71" s="11" t="str">
        <x:v>Tank Dell</x:v>
      </x:c>
      <x:c r="E71" s="11" t="str">
        <x:v>WR</x:v>
      </x:c>
      <x:c r="F71" s="11" t="str">
        <x:v>HOU</x:v>
      </x:c>
      <x:c r="G71" s="13" t="n">
        <x:v>8</x:v>
      </x:c>
      <x:c r="H71" s="12" t="n">
        <x:v>191.8</x:v>
      </x:c>
      <x:c r="I71" s="12" t="n">
        <x:v>116</x:v>
      </x:c>
      <x:c r="J71" s="12" t="n">
        <x:v>75.8</x:v>
      </x:c>
      <x:c r="K71" s="12" t="n">
        <x:v>153.9</x:v>
      </x:c>
      <x:c r="L71" s="12" t="n">
        <x:v>11.5</x:v>
      </x:c>
      <x:c r="M71" s="12" t="n">
        <x:v>7.9</x:v>
      </x:c>
      <x:c r="N71" s="11" t="str">
        <x:v>Medium</x:v>
      </x:c>
      <x:c r="O71" s="13" t="n">
        <x:v>9</x:v>
      </x:c>
      <x:c r="P71" s="13" t="n">
        <x:v>17</x:v>
      </x:c>
      <x:c r="Q71" s="11" t="str">
        <x:v>Ques</x:v>
      </x:c>
      <x:c r="R71" s="11" t="str">
        <x:v>Veteran model: 2024 form, prior-year trend and same team pass/run forecast; team pass volume #9, rush volume #17</x:v>
      </x:c>
    </x:row>
    <x:row r="72" ht="19" customHeight="1">
      <x:c r="A72" s="13" t="n">
        <x:v>68</x:v>
      </x:c>
      <x:c r="B72" s="12" t="n">
        <x:v>75.7</x:v>
      </x:c>
      <x:c r="C72" s="12" t="n">
        <x:f>B72-A72</x:f>
        <x:v>7.700000000000003</x:v>
      </x:c>
      <x:c r="D72" s="11" t="str">
        <x:v>Marvin Harrison</x:v>
      </x:c>
      <x:c r="E72" s="11" t="str">
        <x:v>WR</x:v>
      </x:c>
      <x:c r="F72" s="11" t="str">
        <x:v>ARI</x:v>
      </x:c>
      <x:c r="G72" s="13" t="n">
        <x:v>14</x:v>
      </x:c>
      <x:c r="H72" s="12" t="n">
        <x:v>191.1</x:v>
      </x:c>
      <x:c r="I72" s="12" t="n">
        <x:v>186</x:v>
      </x:c>
      <x:c r="J72" s="12" t="n">
        <x:v>5.1</x:v>
      </x:c>
      <x:c r="K72" s="12" t="n">
        <x:v>189.3</x:v>
      </x:c>
      <x:c r="L72" s="12" t="n">
        <x:v>12</x:v>
      </x:c>
      <x:c r="M72" s="12" t="n">
        <x:v>7.8</x:v>
      </x:c>
      <x:c r="N72" s="11" t="str">
        <x:v>High</x:v>
      </x:c>
      <x:c r="O72" s="13" t="n">
        <x:v>3</x:v>
      </x:c>
      <x:c r="P72" s="13" t="n">
        <x:v>29</x:v>
      </x:c>
      <x:c r="Q72" s="11"/>
      <x:c r="R72" s="11" t="str">
        <x:v>Veteran model: 2025 form, prior-year trend and same team pass/run forecast; team pass volume #3, rush volume #29</x:v>
      </x:c>
    </x:row>
    <x:row r="73" ht="19" customHeight="1">
      <x:c r="A73" s="13" t="n">
        <x:v>69</x:v>
      </x:c>
      <x:c r="B73" s="12" t="n">
        <x:v>41.3</x:v>
      </x:c>
      <x:c r="C73" s="12" t="n">
        <x:f>B73-A73</x:f>
        <x:v>-27.700000000000003</x:v>
      </x:c>
      <x:c r="D73" s="11" t="str">
        <x:v>Colston Loveland</x:v>
      </x:c>
      <x:c r="E73" s="11" t="str">
        <x:v>TE</x:v>
      </x:c>
      <x:c r="F73" s="11" t="str">
        <x:v>CHI</x:v>
      </x:c>
      <x:c r="G73" s="13" t="n">
        <x:v>10</x:v>
      </x:c>
      <x:c r="H73" s="12" t="n">
        <x:v>167.1</x:v>
      </x:c>
      <x:c r="I73" s="12" t="n">
        <x:v>215</x:v>
      </x:c>
      <x:c r="J73" s="12" t="n">
        <x:v>-47.9</x:v>
      </x:c>
      <x:c r="K73" s="12" t="n">
        <x:v>191.1</x:v>
      </x:c>
      <x:c r="L73" s="12" t="n">
        <x:v>15.7</x:v>
      </x:c>
      <x:c r="M73" s="12" t="n">
        <x:v>7.6</x:v>
      </x:c>
      <x:c r="N73" s="11" t="str">
        <x:v>Medium</x:v>
      </x:c>
      <x:c r="O73" s="13" t="n">
        <x:v>13</x:v>
      </x:c>
      <x:c r="P73" s="13" t="n">
        <x:v>6</x:v>
      </x:c>
      <x:c r="Q73" s="11"/>
      <x:c r="R73" s="11" t="str">
        <x:v>Veteran model: 2025 form, prior-year trend and same team pass/run forecast; team pass volume #13, rush volume #6</x:v>
      </x:c>
    </x:row>
    <x:row r="74" ht="19" customHeight="1">
      <x:c r="A74" s="13" t="n">
        <x:v>70</x:v>
      </x:c>
      <x:c r="B74" s="12" t="n">
        <x:v>93.6</x:v>
      </x:c>
      <x:c r="C74" s="12" t="n">
        <x:f>B74-A74</x:f>
        <x:v>23.599999999999994</x:v>
      </x:c>
      <x:c r="D74" s="11" t="str">
        <x:v>Travis Kelce</x:v>
      </x:c>
      <x:c r="E74" s="11" t="str">
        <x:v>TE</x:v>
      </x:c>
      <x:c r="F74" s="11" t="str">
        <x:v>KC</x:v>
      </x:c>
      <x:c r="G74" s="13" t="n">
        <x:v>5</x:v>
      </x:c>
      <x:c r="H74" s="12" t="n">
        <x:v>169.5</x:v>
      </x:c>
      <x:c r="I74" s="12" t="n">
        <x:v>171</x:v>
      </x:c>
      <x:c r="J74" s="12" t="n">
        <x:v>-1.5</x:v>
      </x:c>
      <x:c r="K74" s="12" t="n">
        <x:v>170</x:v>
      </x:c>
      <x:c r="L74" s="12" t="n">
        <x:v>12.2</x:v>
      </x:c>
      <x:c r="M74" s="12" t="n">
        <x:v>7.6</x:v>
      </x:c>
      <x:c r="N74" s="11" t="str">
        <x:v>High</x:v>
      </x:c>
      <x:c r="O74" s="13" t="n">
        <x:v>5</x:v>
      </x:c>
      <x:c r="P74" s="13" t="n">
        <x:v>25</x:v>
      </x:c>
      <x:c r="Q74" s="11"/>
      <x:c r="R74" s="11" t="str">
        <x:v>Veteran model: 2025 form, prior-year trend and same team pass/run forecast; team pass volume #5, rush volume #25</x:v>
      </x:c>
    </x:row>
    <x:row r="75" ht="19" customHeight="1">
      <x:c r="A75" s="13" t="n">
        <x:v>71</x:v>
      </x:c>
      <x:c r="B75" s="12" t="n">
        <x:v>79.9</x:v>
      </x:c>
      <x:c r="C75" s="12" t="n">
        <x:f>B75-A75</x:f>
        <x:v>8.900000000000006</x:v>
      </x:c>
      <x:c r="D75" s="11" t="str">
        <x:v>RJ Harvey</x:v>
      </x:c>
      <x:c r="E75" s="11" t="str">
        <x:v>RB</x:v>
      </x:c>
      <x:c r="F75" s="11" t="str">
        <x:v>DEN</x:v>
      </x:c>
      <x:c r="G75" s="13" t="n">
        <x:v>10</x:v>
      </x:c>
      <x:c r="H75" s="12" t="n">
        <x:v>189.2</x:v>
      </x:c>
      <x:c r="I75" s="12" t="n">
        <x:v>144</x:v>
      </x:c>
      <x:c r="J75" s="12" t="n">
        <x:v>45.2</x:v>
      </x:c>
      <x:c r="K75" s="12" t="n">
        <x:v>166.6</x:v>
      </x:c>
      <x:c r="L75" s="12" t="n">
        <x:v>12.7</x:v>
      </x:c>
      <x:c r="M75" s="12" t="n">
        <x:v>6.1</x:v>
      </x:c>
      <x:c r="N75" s="11" t="str">
        <x:v>Medium</x:v>
      </x:c>
      <x:c r="O75" s="13" t="n">
        <x:v>6</x:v>
      </x:c>
      <x:c r="P75" s="13" t="n">
        <x:v>19</x:v>
      </x:c>
      <x:c r="Q75" s="11"/>
      <x:c r="R75" s="11" t="str">
        <x:v>Veteran model: 2025 form, prior-year trend and same team pass/run forecast; team pass volume #6, rush volume #19</x:v>
      </x:c>
    </x:row>
    <x:row r="76" ht="19" customHeight="1">
      <x:c r="A76" s="13" t="n">
        <x:v>72</x:v>
      </x:c>
      <x:c r="B76" s="12" t="n">
        <x:v>83.4</x:v>
      </x:c>
      <x:c r="C76" s="12" t="n">
        <x:f>B76-A76</x:f>
        <x:v>11.400000000000006</x:v>
      </x:c>
      <x:c r="D76" s="11" t="str">
        <x:v>Justin Herbert</x:v>
      </x:c>
      <x:c r="E76" s="11" t="str">
        <x:v>QB</x:v>
      </x:c>
      <x:c r="F76" s="11" t="str">
        <x:v>LAC</x:v>
      </x:c>
      <x:c r="G76" s="13" t="n">
        <x:v>7</x:v>
      </x:c>
      <x:c r="H76" s="12" t="n">
        <x:v>289.6</x:v>
      </x:c>
      <x:c r="I76" s="12" t="n">
        <x:v>295</x:v>
      </x:c>
      <x:c r="J76" s="12" t="n">
        <x:v>-5.4</x:v>
      </x:c>
      <x:c r="K76" s="12" t="n">
        <x:v>291.5</x:v>
      </x:c>
      <x:c r="L76" s="12" t="n">
        <x:v>12.5</x:v>
      </x:c>
      <x:c r="M76" s="12" t="n">
        <x:v>5.4</x:v>
      </x:c>
      <x:c r="N76" s="11" t="str">
        <x:v>High</x:v>
      </x:c>
      <x:c r="O76" s="13" t="n">
        <x:v>14</x:v>
      </x:c>
      <x:c r="P76" s="13" t="n">
        <x:v>16</x:v>
      </x:c>
      <x:c r="Q76" s="11"/>
      <x:c r="R76" s="11" t="str">
        <x:v>Veteran model: 2025 form, prior-year trend and same team pass/run forecast; team pass volume #14, rush volume #16</x:v>
      </x:c>
    </x:row>
    <x:row r="77" ht="19" customHeight="1">
      <x:c r="A77" s="13" t="n">
        <x:v>73</x:v>
      </x:c>
      <x:c r="B77" s="12" t="n">
        <x:v>47.7</x:v>
      </x:c>
      <x:c r="C77" s="12" t="n">
        <x:f>B77-A77</x:f>
        <x:v>-25.299999999999997</x:v>
      </x:c>
      <x:c r="D77" s="11" t="str">
        <x:v>Jaylen Waddle</x:v>
      </x:c>
      <x:c r="E77" s="11" t="str">
        <x:v>WR</x:v>
      </x:c>
      <x:c r="F77" s="11" t="str">
        <x:v>DEN</x:v>
      </x:c>
      <x:c r="G77" s="13" t="n">
        <x:v>10</x:v>
      </x:c>
      <x:c r="H77" s="12" t="n">
        <x:v>186</x:v>
      </x:c>
      <x:c r="I77" s="12" t="n">
        <x:v>221</x:v>
      </x:c>
      <x:c r="J77" s="12" t="n">
        <x:v>-35</x:v>
      </x:c>
      <x:c r="K77" s="12" t="n">
        <x:v>198.2</x:v>
      </x:c>
      <x:c r="L77" s="12" t="n">
        <x:v>14.9</x:v>
      </x:c>
      <x:c r="M77" s="12" t="n">
        <x:v>5.2</x:v>
      </x:c>
      <x:c r="N77" s="11" t="str">
        <x:v>High</x:v>
      </x:c>
      <x:c r="O77" s="13" t="n">
        <x:v>6</x:v>
      </x:c>
      <x:c r="P77" s="13" t="n">
        <x:v>19</x:v>
      </x:c>
      <x:c r="Q77" s="11"/>
      <x:c r="R77" s="11" t="str">
        <x:v>Veteran model: 2025 form, prior-year trend and new team pass/run forecast; team pass volume #6, rush volume #19</x:v>
      </x:c>
    </x:row>
    <x:row r="78" ht="19" customHeight="1">
      <x:c r="A78" s="13" t="n">
        <x:v>74</x:v>
      </x:c>
      <x:c r="B78" s="12" t="n">
        <x:v>132.8</x:v>
      </x:c>
      <x:c r="C78" s="12" t="n">
        <x:f>B78-A78</x:f>
        <x:v>58.80000000000001</x:v>
      </x:c>
      <x:c r="D78" s="11" t="str">
        <x:v>Jared Goff</x:v>
      </x:c>
      <x:c r="E78" s="11" t="str">
        <x:v>QB</x:v>
      </x:c>
      <x:c r="F78" s="11" t="str">
        <x:v>DET</x:v>
      </x:c>
      <x:c r="G78" s="13" t="n">
        <x:v>6</x:v>
      </x:c>
      <x:c r="H78" s="12" t="n">
        <x:v>288</x:v>
      </x:c>
      <x:c r="I78" s="12" t="n">
        <x:v>283</x:v>
      </x:c>
      <x:c r="J78" s="12" t="n">
        <x:v>5</x:v>
      </x:c>
      <x:c r="K78" s="12" t="n">
        <x:v>286.2</x:v>
      </x:c>
      <x:c r="L78" s="12" t="n">
        <x:v>15.3</x:v>
      </x:c>
      <x:c r="M78" s="12" t="n">
        <x:v>5.2</x:v>
      </x:c>
      <x:c r="N78" s="11" t="str">
        <x:v>High</x:v>
      </x:c>
      <x:c r="O78" s="13" t="n">
        <x:v>10</x:v>
      </x:c>
      <x:c r="P78" s="13" t="n">
        <x:v>7</x:v>
      </x:c>
      <x:c r="Q78" s="11"/>
      <x:c r="R78" s="11" t="str">
        <x:v>Veteran model: 2025 form, prior-year trend and same team pass/run forecast; team pass volume #10, rush volume #7</x:v>
      </x:c>
    </x:row>
    <x:row r="79" ht="19" customHeight="1">
      <x:c r="A79" s="13" t="n">
        <x:v>75</x:v>
      </x:c>
      <x:c r="B79" s="12" t="n">
        <x:v>82.3</x:v>
      </x:c>
      <x:c r="C79" s="12" t="n">
        <x:f>B79-A79</x:f>
        <x:v>7.299999999999997</x:v>
      </x:c>
      <x:c r="D79" s="11" t="str">
        <x:v>Michael Wilson</x:v>
      </x:c>
      <x:c r="E79" s="11" t="str">
        <x:v>WR</x:v>
      </x:c>
      <x:c r="F79" s="11" t="str">
        <x:v>ARI</x:v>
      </x:c>
      <x:c r="G79" s="13" t="n">
        <x:v>14</x:v>
      </x:c>
      <x:c r="H79" s="12" t="n">
        <x:v>185.5</x:v>
      </x:c>
      <x:c r="I79" s="12" t="n">
        <x:v>166</x:v>
      </x:c>
      <x:c r="J79" s="12" t="n">
        <x:v>19.5</x:v>
      </x:c>
      <x:c r="K79" s="12" t="n">
        <x:v>178.7</x:v>
      </x:c>
      <x:c r="L79" s="12" t="n">
        <x:v>13.2</x:v>
      </x:c>
      <x:c r="M79" s="12" t="n">
        <x:v>4.2</x:v>
      </x:c>
      <x:c r="N79" s="11" t="str">
        <x:v>High</x:v>
      </x:c>
      <x:c r="O79" s="13" t="n">
        <x:v>3</x:v>
      </x:c>
      <x:c r="P79" s="13" t="n">
        <x:v>29</x:v>
      </x:c>
      <x:c r="Q79" s="11"/>
      <x:c r="R79" s="11" t="str">
        <x:v>Veteran model: 2025 form, prior-year trend and same team pass/run forecast; team pass volume #3, rush volume #29</x:v>
      </x:c>
    </x:row>
    <x:row r="80" ht="19" customHeight="1">
      <x:c r="A80" s="13" t="n">
        <x:v>76</x:v>
      </x:c>
      <x:c r="B80" s="12" t="n">
        <x:v>97.2</x:v>
      </x:c>
      <x:c r="C80" s="12" t="n">
        <x:f>B80-A80</x:f>
        <x:v>21.200000000000003</x:v>
      </x:c>
      <x:c r="D80" s="11" t="str">
        <x:v>Alec Pierce</x:v>
      </x:c>
      <x:c r="E80" s="11" t="str">
        <x:v>WR</x:v>
      </x:c>
      <x:c r="F80" s="11" t="str">
        <x:v>IND</x:v>
      </x:c>
      <x:c r="G80" s="13" t="n">
        <x:v>13</x:v>
      </x:c>
      <x:c r="H80" s="12" t="n">
        <x:v>184.8</x:v>
      </x:c>
      <x:c r="I80" s="12" t="n">
        <x:v>178</x:v>
      </x:c>
      <x:c r="J80" s="12" t="n">
        <x:v>6.8</x:v>
      </x:c>
      <x:c r="K80" s="12" t="n">
        <x:v>182.4</x:v>
      </x:c>
      <x:c r="L80" s="12" t="n">
        <x:v>13.2</x:v>
      </x:c>
      <x:c r="M80" s="12" t="n">
        <x:v>3.6</x:v>
      </x:c>
      <x:c r="N80" s="11" t="str">
        <x:v>High</x:v>
      </x:c>
      <x:c r="O80" s="13" t="n">
        <x:v>21</x:v>
      </x:c>
      <x:c r="P80" s="13" t="n">
        <x:v>13</x:v>
      </x:c>
      <x:c r="Q80" s="11" t="str">
        <x:v>PUP</x:v>
      </x:c>
      <x:c r="R80" s="11" t="str">
        <x:v>Veteran model: 2025 form, prior-year trend and same team pass/run forecast; team pass volume #21, rush volume #13</x:v>
      </x:c>
    </x:row>
    <x:row r="81" ht="19" customHeight="1">
      <x:c r="A81" s="13" t="n">
        <x:v>77</x:v>
      </x:c>
      <x:c r="B81" s="12" t="n">
        <x:v>90.3</x:v>
      </x:c>
      <x:c r="C81" s="12" t="n">
        <x:f>B81-A81</x:f>
        <x:v>13.299999999999997</x:v>
      </x:c>
      <x:c r="D81" s="11" t="str">
        <x:v>George Kittle</x:v>
      </x:c>
      <x:c r="E81" s="11" t="str">
        <x:v>TE</x:v>
      </x:c>
      <x:c r="F81" s="11" t="str">
        <x:v>SF</x:v>
      </x:c>
      <x:c r="G81" s="13" t="n">
        <x:v>8</x:v>
      </x:c>
      <x:c r="H81" s="12" t="n">
        <x:v>163.5</x:v>
      </x:c>
      <x:c r="I81" s="12" t="n">
        <x:v>169</x:v>
      </x:c>
      <x:c r="J81" s="12" t="n">
        <x:v>-5.5</x:v>
      </x:c>
      <x:c r="K81" s="12" t="n">
        <x:v>166.2</x:v>
      </x:c>
      <x:c r="L81" s="12" t="n">
        <x:v>12.6</x:v>
      </x:c>
      <x:c r="M81" s="12" t="n">
        <x:v>3.4</x:v>
      </x:c>
      <x:c r="N81" s="11" t="str">
        <x:v>Medium</x:v>
      </x:c>
      <x:c r="O81" s="13" t="n">
        <x:v>16</x:v>
      </x:c>
      <x:c r="P81" s="13" t="n">
        <x:v>9</x:v>
      </x:c>
      <x:c r="Q81" s="11" t="str">
        <x:v>PUP</x:v>
      </x:c>
      <x:c r="R81" s="11" t="str">
        <x:v>Veteran model: 2025 form, prior-year trend and same team pass/run forecast; team pass volume #16, rush volume #9</x:v>
      </x:c>
    </x:row>
    <x:row r="82" ht="19" customHeight="1">
      <x:c r="A82" s="13" t="n">
        <x:v>78</x:v>
      </x:c>
      <x:c r="B82" s="12" t="n">
        <x:v>62.5</x:v>
      </x:c>
      <x:c r="C82" s="12" t="n">
        <x:f>B82-A82</x:f>
        <x:v>-15.5</x:v>
      </x:c>
      <x:c r="D82" s="11" t="str">
        <x:v>Jayden Daniels</x:v>
      </x:c>
      <x:c r="E82" s="11" t="str">
        <x:v>QB</x:v>
      </x:c>
      <x:c r="F82" s="11" t="str">
        <x:v>WAS</x:v>
      </x:c>
      <x:c r="G82" s="13" t="n">
        <x:v>7</x:v>
      </x:c>
      <x:c r="H82" s="12" t="n">
        <x:v>287</x:v>
      </x:c>
      <x:c r="I82" s="12" t="n">
        <x:v>309</x:v>
      </x:c>
      <x:c r="J82" s="12" t="n">
        <x:v>-22</x:v>
      </x:c>
      <x:c r="K82" s="12" t="n">
        <x:v>298</x:v>
      </x:c>
      <x:c r="L82" s="12" t="n">
        <x:v>10.9</x:v>
      </x:c>
      <x:c r="M82" s="12" t="n">
        <x:v>3.1</x:v>
      </x:c>
      <x:c r="N82" s="11" t="str">
        <x:v>Medium</x:v>
      </x:c>
      <x:c r="O82" s="13" t="n">
        <x:v>29</x:v>
      </x:c>
      <x:c r="P82" s="13" t="n">
        <x:v>8</x:v>
      </x:c>
      <x:c r="Q82" s="11"/>
      <x:c r="R82" s="11" t="str">
        <x:v>Veteran model: 2025 form, prior-year trend and same team pass/run forecast; team pass volume #29, rush volume #8</x:v>
      </x:c>
    </x:row>
    <x:row r="83" ht="19" customHeight="1">
      <x:c r="A83" s="13" t="n">
        <x:v>79</x:v>
      </x:c>
      <x:c r="B83" s="12" t="n">
        <x:v>60.1</x:v>
      </x:c>
      <x:c r="C83" s="12" t="n">
        <x:f>B83-A83</x:f>
        <x:v>-18.9</x:v>
      </x:c>
      <x:c r="D83" s="11" t="str">
        <x:v>Sam LaPorta</x:v>
      </x:c>
      <x:c r="E83" s="11" t="str">
        <x:v>TE</x:v>
      </x:c>
      <x:c r="F83" s="11" t="str">
        <x:v>DET</x:v>
      </x:c>
      <x:c r="G83" s="13" t="n">
        <x:v>6</x:v>
      </x:c>
      <x:c r="H83" s="12" t="n">
        <x:v>162.6</x:v>
      </x:c>
      <x:c r="I83" s="12" t="n">
        <x:v>197</x:v>
      </x:c>
      <x:c r="J83" s="12" t="n">
        <x:v>-34.4</x:v>
      </x:c>
      <x:c r="K83" s="12" t="n">
        <x:v>179.8</x:v>
      </x:c>
      <x:c r="L83" s="12" t="n">
        <x:v>13.6</x:v>
      </x:c>
      <x:c r="M83" s="12" t="n">
        <x:v>3</x:v>
      </x:c>
      <x:c r="N83" s="11" t="str">
        <x:v>Medium</x:v>
      </x:c>
      <x:c r="O83" s="13" t="n">
        <x:v>10</x:v>
      </x:c>
      <x:c r="P83" s="13" t="n">
        <x:v>7</x:v>
      </x:c>
      <x:c r="Q83" s="11" t="str">
        <x:v>Ques</x:v>
      </x:c>
      <x:c r="R83" s="11" t="str">
        <x:v>Veteran model: 2025 form, prior-year trend and same team pass/run forecast; team pass volume #10, rush volume #7</x:v>
      </x:c>
    </x:row>
    <x:row r="84" ht="19" customHeight="1">
      <x:c r="A84" s="13" t="n">
        <x:v>80</x:v>
      </x:c>
      <x:c r="B84" s="12" t="n">
        <x:v>97.5</x:v>
      </x:c>
      <x:c r="C84" s="12" t="n">
        <x:f>B84-A84</x:f>
        <x:v>17.5</x:v>
      </x:c>
      <x:c r="D84" s="11" t="str">
        <x:v>Trevor Lawrence</x:v>
      </x:c>
      <x:c r="E84" s="11" t="str">
        <x:v>QB</x:v>
      </x:c>
      <x:c r="F84" s="11" t="str">
        <x:v>JAX</x:v>
      </x:c>
      <x:c r="G84" s="13" t="n">
        <x:v>7</x:v>
      </x:c>
      <x:c r="H84" s="12" t="n">
        <x:v>285.9</x:v>
      </x:c>
      <x:c r="I84" s="12" t="n">
        <x:v>303</x:v>
      </x:c>
      <x:c r="J84" s="12" t="n">
        <x:v>-17.1</x:v>
      </x:c>
      <x:c r="K84" s="12" t="n">
        <x:v>291.9</x:v>
      </x:c>
      <x:c r="L84" s="12" t="n">
        <x:v>13.8</x:v>
      </x:c>
      <x:c r="M84" s="12" t="n">
        <x:v>3</x:v>
      </x:c>
      <x:c r="N84" s="11" t="str">
        <x:v>High</x:v>
      </x:c>
      <x:c r="O84" s="13" t="n">
        <x:v>11</x:v>
      </x:c>
      <x:c r="P84" s="13" t="n">
        <x:v>15</x:v>
      </x:c>
      <x:c r="Q84" s="11"/>
      <x:c r="R84" s="11" t="str">
        <x:v>Veteran model: 2025 form, prior-year trend and same team pass/run forecast; team pass volume #11, rush volume #15</x:v>
      </x:c>
    </x:row>
    <x:row r="85" ht="19" customHeight="1">
      <x:c r="A85" s="13" t="n">
        <x:v>81</x:v>
      </x:c>
      <x:c r="B85" s="12" t="n">
        <x:v>92.6</x:v>
      </x:c>
      <x:c r="C85" s="12" t="n">
        <x:f>B85-A85</x:f>
        <x:v>11.599999999999994</x:v>
      </x:c>
      <x:c r="D85" s="11" t="str">
        <x:v>J.K. Dobbins</x:v>
      </x:c>
      <x:c r="E85" s="11" t="str">
        <x:v>RB</x:v>
      </x:c>
      <x:c r="F85" s="11" t="str">
        <x:v>DEN</x:v>
      </x:c>
      <x:c r="G85" s="13" t="n">
        <x:v>10</x:v>
      </x:c>
      <x:c r="H85" s="12" t="n">
        <x:v>184.8</x:v>
      </x:c>
      <x:c r="I85" s="12" t="n">
        <x:v>160</x:v>
      </x:c>
      <x:c r="J85" s="12" t="n">
        <x:v>24.8</x:v>
      </x:c>
      <x:c r="K85" s="12" t="n">
        <x:v>172.4</x:v>
      </x:c>
      <x:c r="L85" s="12" t="n">
        <x:v>11</x:v>
      </x:c>
      <x:c r="M85" s="12" t="n">
        <x:v>2.4</x:v>
      </x:c>
      <x:c r="N85" s="11" t="str">
        <x:v>Medium</x:v>
      </x:c>
      <x:c r="O85" s="13" t="n">
        <x:v>6</x:v>
      </x:c>
      <x:c r="P85" s="13" t="n">
        <x:v>19</x:v>
      </x:c>
      <x:c r="Q85" s="11"/>
      <x:c r="R85" s="11" t="str">
        <x:v>Veteran model: 2025 form, prior-year trend and same team pass/run forecast; team pass volume #6, rush volume #19</x:v>
      </x:c>
    </x:row>
    <x:row r="86" ht="19" customHeight="1">
      <x:c r="A86" s="13" t="n">
        <x:v>82</x:v>
      </x:c>
      <x:c r="B86" s="12" t="n">
        <x:v>46</x:v>
      </x:c>
      <x:c r="C86" s="12" t="n">
        <x:f>B86-A86</x:f>
        <x:v>-36</x:v>
      </x:c>
      <x:c r="D86" s="11" t="str">
        <x:v>Tyler Warren</x:v>
      </x:c>
      <x:c r="E86" s="11" t="str">
        <x:v>TE</x:v>
      </x:c>
      <x:c r="F86" s="11" t="str">
        <x:v>IND</x:v>
      </x:c>
      <x:c r="G86" s="13" t="n">
        <x:v>13</x:v>
      </x:c>
      <x:c r="H86" s="12" t="n">
        <x:v>159.9</x:v>
      </x:c>
      <x:c r="I86" s="12" t="n">
        <x:v>201</x:v>
      </x:c>
      <x:c r="J86" s="12" t="n">
        <x:v>-41.1</x:v>
      </x:c>
      <x:c r="K86" s="12" t="n">
        <x:v>180.4</x:v>
      </x:c>
      <x:c r="L86" s="12" t="n">
        <x:v>16.2</x:v>
      </x:c>
      <x:c r="M86" s="12" t="n">
        <x:v>1</x:v>
      </x:c>
      <x:c r="N86" s="11" t="str">
        <x:v>Medium</x:v>
      </x:c>
      <x:c r="O86" s="13" t="n">
        <x:v>21</x:v>
      </x:c>
      <x:c r="P86" s="13" t="n">
        <x:v>13</x:v>
      </x:c>
      <x:c r="Q86" s="11" t="str">
        <x:v>Ques</x:v>
      </x:c>
      <x:c r="R86" s="11" t="str">
        <x:v>Veteran model: 2025 form, prior-year trend and same team pass/run forecast; team pass volume #21, rush volume #13</x:v>
      </x:c>
    </x:row>
    <x:row r="87" ht="19" customHeight="1">
      <x:c r="A87" s="13" t="n">
        <x:v>83</x:v>
      </x:c>
      <x:c r="B87" s="12" t="n">
        <x:v>33.5</x:v>
      </x:c>
      <x:c r="C87" s="12" t="n">
        <x:f>B87-A87</x:f>
        <x:v>-49.5</x:v>
      </x:c>
      <x:c r="D87" s="11" t="str">
        <x:v>Lamar Jackson</x:v>
      </x:c>
      <x:c r="E87" s="11" t="str">
        <x:v>QB</x:v>
      </x:c>
      <x:c r="F87" s="11" t="str">
        <x:v>BAL</x:v>
      </x:c>
      <x:c r="G87" s="13" t="n">
        <x:v>13</x:v>
      </x:c>
      <x:c r="H87" s="12" t="n">
        <x:v>283.5</x:v>
      </x:c>
      <x:c r="I87" s="12" t="n">
        <x:v>326</x:v>
      </x:c>
      <x:c r="J87" s="12" t="n">
        <x:v>-42.5</x:v>
      </x:c>
      <x:c r="K87" s="12" t="n">
        <x:v>298.4</x:v>
      </x:c>
      <x:c r="L87" s="12" t="n">
        <x:v>12.1</x:v>
      </x:c>
      <x:c r="M87" s="12" t="n">
        <x:v>0.9</x:v>
      </x:c>
      <x:c r="N87" s="11" t="str">
        <x:v>High</x:v>
      </x:c>
      <x:c r="O87" s="13" t="n">
        <x:v>32</x:v>
      </x:c>
      <x:c r="P87" s="13" t="n">
        <x:v>1</x:v>
      </x:c>
      <x:c r="Q87" s="11"/>
      <x:c r="R87" s="11" t="str">
        <x:v>Veteran model: 2025 form, prior-year trend and same team pass/run forecast; team pass volume #32, rush volume #1</x:v>
      </x:c>
    </x:row>
    <x:row r="88" ht="19" customHeight="1">
      <x:c r="A88" s="13" t="n">
        <x:v>84</x:v>
      </x:c>
      <x:c r="B88" s="12" t="n">
        <x:v>187.1</x:v>
      </x:c>
      <x:c r="C88" s="12" t="n">
        <x:f>B88-A88</x:f>
        <x:v>103.1</x:v>
      </x:c>
      <x:c r="D88" s="11" t="str">
        <x:v>Juwan Johnson</x:v>
      </x:c>
      <x:c r="E88" s="11" t="str">
        <x:v>TE</x:v>
      </x:c>
      <x:c r="F88" s="11" t="str">
        <x:v>NO</x:v>
      </x:c>
      <x:c r="G88" s="13" t="n">
        <x:v>8</x:v>
      </x:c>
      <x:c r="H88" s="12" t="n">
        <x:v>159.7</x:v>
      </x:c>
      <x:c r="I88" s="12" t="n">
        <x:v>141</x:v>
      </x:c>
      <x:c r="J88" s="12" t="n">
        <x:v>18.7</x:v>
      </x:c>
      <x:c r="K88" s="12" t="n">
        <x:v>153.2</x:v>
      </x:c>
      <x:c r="L88" s="12" t="n">
        <x:v>12.2</x:v>
      </x:c>
      <x:c r="M88" s="12" t="n">
        <x:v>0.6</x:v>
      </x:c>
      <x:c r="N88" s="11" t="str">
        <x:v>High</x:v>
      </x:c>
      <x:c r="O88" s="13" t="n">
        <x:v>8</x:v>
      </x:c>
      <x:c r="P88" s="13" t="n">
        <x:v>22</x:v>
      </x:c>
      <x:c r="Q88" s="11"/>
      <x:c r="R88" s="11" t="str">
        <x:v>Veteran model: 2025 form, prior-year trend and same team pass/run forecast; team pass volume #8, rush volume #22</x:v>
      </x:c>
    </x:row>
    <x:row r="89" ht="19" customHeight="1">
      <x:c r="A89" s="13" t="n">
        <x:v>85</x:v>
      </x:c>
      <x:c r="B89" s="12" t="n">
        <x:v>73.6</x:v>
      </x:c>
      <x:c r="C89" s="12" t="n">
        <x:f>B89-A89</x:f>
        <x:v>-11.400000000000006</x:v>
      </x:c>
      <x:c r="D89" s="11" t="str">
        <x:v>Jaylen Warren</x:v>
      </x:c>
      <x:c r="E89" s="11" t="str">
        <x:v>RB</x:v>
      </x:c>
      <x:c r="F89" s="11" t="str">
        <x:v>PIT</x:v>
      </x:c>
      <x:c r="G89" s="13" t="n">
        <x:v>9</x:v>
      </x:c>
      <x:c r="H89" s="12" t="n">
        <x:v>181.1</x:v>
      </x:c>
      <x:c r="I89" s="12" t="n">
        <x:v>171</x:v>
      </x:c>
      <x:c r="J89" s="12" t="n">
        <x:v>10.1</x:v>
      </x:c>
      <x:c r="K89" s="12" t="n">
        <x:v>177.6</x:v>
      </x:c>
      <x:c r="L89" s="12" t="n">
        <x:v>12.7</x:v>
      </x:c>
      <x:c r="M89" s="12" t="n">
        <x:v>0</x:v>
      </x:c>
      <x:c r="N89" s="11" t="str">
        <x:v>High</x:v>
      </x:c>
      <x:c r="O89" s="13" t="n">
        <x:v>24</x:v>
      </x:c>
      <x:c r="P89" s="13" t="n">
        <x:v>18</x:v>
      </x:c>
      <x:c r="Q89" s="11"/>
      <x:c r="R89" s="11" t="str">
        <x:v>Veteran model: 2025 form, prior-year trend and same team pass/run forecast; team pass volume #24, rush volume #18</x:v>
      </x:c>
    </x:row>
    <x:row r="90" ht="19" customHeight="1">
      <x:c r="A90" s="13" t="n">
        <x:v>86</x:v>
      </x:c>
      <x:c r="B90" s="12" t="n">
        <x:v>104.6</x:v>
      </x:c>
      <x:c r="C90" s="12" t="n">
        <x:f>B90-A90</x:f>
        <x:v>18.599999999999994</x:v>
      </x:c>
      <x:c r="D90" s="11" t="str">
        <x:v>Jakobi Meyers</x:v>
      </x:c>
      <x:c r="E90" s="11" t="str">
        <x:v>WR</x:v>
      </x:c>
      <x:c r="F90" s="11" t="str">
        <x:v>JAX</x:v>
      </x:c>
      <x:c r="G90" s="13" t="n">
        <x:v>7</x:v>
      </x:c>
      <x:c r="H90" s="12" t="n">
        <x:v>180.1</x:v>
      </x:c>
      <x:c r="I90" s="12" t="n">
        <x:v>169</x:v>
      </x:c>
      <x:c r="J90" s="12" t="n">
        <x:v>11.1</x:v>
      </x:c>
      <x:c r="K90" s="12" t="n">
        <x:v>176.2</x:v>
      </x:c>
      <x:c r="L90" s="12" t="n">
        <x:v>11.8</x:v>
      </x:c>
      <x:c r="M90" s="12" t="n">
        <x:v>0</x:v>
      </x:c>
      <x:c r="N90" s="11" t="str">
        <x:v>High</x:v>
      </x:c>
      <x:c r="O90" s="13" t="n">
        <x:v>11</x:v>
      </x:c>
      <x:c r="P90" s="13" t="n">
        <x:v>15</x:v>
      </x:c>
      <x:c r="Q90" s="11"/>
      <x:c r="R90" s="11" t="str">
        <x:v>Veteran model: 2025 form, prior-year trend and same team pass/run forecast; team pass volume #11, rush volume #15</x:v>
      </x:c>
    </x:row>
    <x:row r="91" ht="19" customHeight="1">
      <x:c r="A91" s="13" t="n">
        <x:v>87</x:v>
      </x:c>
      <x:c r="B91" s="12" t="n">
        <x:v>124.2</x:v>
      </x:c>
      <x:c r="C91" s="12" t="n">
        <x:f>B91-A91</x:f>
        <x:v>37.2</x:v>
      </x:c>
      <x:c r="D91" s="11" t="str">
        <x:v>Dallas Goedert</x:v>
      </x:c>
      <x:c r="E91" s="11" t="str">
        <x:v>TE</x:v>
      </x:c>
      <x:c r="F91" s="11" t="str">
        <x:v>PHI</x:v>
      </x:c>
      <x:c r="G91" s="13" t="n">
        <x:v>10</x:v>
      </x:c>
      <x:c r="H91" s="12" t="n">
        <x:v>158.9</x:v>
      </x:c>
      <x:c r="I91" s="12" t="n">
        <x:v>136</x:v>
      </x:c>
      <x:c r="J91" s="12" t="n">
        <x:v>22.9</x:v>
      </x:c>
      <x:c r="K91" s="12" t="n">
        <x:v>150.9</x:v>
      </x:c>
      <x:c r="L91" s="12" t="n">
        <x:v>13</x:v>
      </x:c>
      <x:c r="M91" s="12" t="n">
        <x:v>0</x:v>
      </x:c>
      <x:c r="N91" s="11" t="str">
        <x:v>High</x:v>
      </x:c>
      <x:c r="O91" s="13" t="n">
        <x:v>31</x:v>
      </x:c>
      <x:c r="P91" s="13" t="n">
        <x:v>2</x:v>
      </x:c>
      <x:c r="Q91" s="11"/>
      <x:c r="R91" s="11" t="str">
        <x:v>Veteran model: 2025 form, prior-year trend and same team pass/run forecast; team pass volume #31, rush volume #2</x:v>
      </x:c>
    </x:row>
    <x:row r="92" ht="19" customHeight="1">
      <x:c r="A92" s="13" t="n">
        <x:v>88</x:v>
      </x:c>
      <x:c r="B92" s="12" t="n">
        <x:v>139.7</x:v>
      </x:c>
      <x:c r="C92" s="12" t="n">
        <x:f>B92-A92</x:f>
        <x:v>51.69999999999999</x:v>
      </x:c>
      <x:c r="D92" s="11" t="str">
        <x:v>Baker Mayfield</x:v>
      </x:c>
      <x:c r="E92" s="11" t="str">
        <x:v>QB</x:v>
      </x:c>
      <x:c r="F92" s="11" t="str">
        <x:v>TB</x:v>
      </x:c>
      <x:c r="G92" s="13" t="n">
        <x:v>10</x:v>
      </x:c>
      <x:c r="H92" s="12" t="n">
        <x:v>282.2</x:v>
      </x:c>
      <x:c r="I92" s="12" t="n">
        <x:v>275</x:v>
      </x:c>
      <x:c r="J92" s="12" t="n">
        <x:v>7.2</x:v>
      </x:c>
      <x:c r="K92" s="12" t="n">
        <x:v>279.7</x:v>
      </x:c>
      <x:c r="L92" s="12" t="n">
        <x:v>13</x:v>
      </x:c>
      <x:c r="M92" s="12" t="n">
        <x:v>0</x:v>
      </x:c>
      <x:c r="N92" s="11" t="str">
        <x:v>High</x:v>
      </x:c>
      <x:c r="O92" s="13" t="n">
        <x:v>12</x:v>
      </x:c>
      <x:c r="P92" s="13" t="n">
        <x:v>11</x:v>
      </x:c>
      <x:c r="Q92" s="11"/>
      <x:c r="R92" s="11" t="str">
        <x:v>Veteran model: 2025 form, prior-year trend and same team pass/run forecast; team pass volume #12, rush volume #11</x:v>
      </x:c>
    </x:row>
    <x:row r="93" ht="19" customHeight="1">
      <x:c r="A93" s="13" t="n">
        <x:v>89</x:v>
      </x:c>
      <x:c r="B93" s="12" t="n">
        <x:v>69.1</x:v>
      </x:c>
      <x:c r="C93" s="12" t="n">
        <x:f>B93-A93</x:f>
        <x:v>-19.900000000000006</x:v>
      </x:c>
      <x:c r="D93" s="11" t="str">
        <x:v>Christian Watson</x:v>
      </x:c>
      <x:c r="E93" s="11" t="str">
        <x:v>WR</x:v>
      </x:c>
      <x:c r="F93" s="11" t="str">
        <x:v>GB</x:v>
      </x:c>
      <x:c r="G93" s="13" t="n">
        <x:v>11</x:v>
      </x:c>
      <x:c r="H93" s="12" t="n">
        <x:v>180</x:v>
      </x:c>
      <x:c r="I93" s="12" t="n">
        <x:v>208</x:v>
      </x:c>
      <x:c r="J93" s="12" t="n">
        <x:v>-28</x:v>
      </x:c>
      <x:c r="K93" s="12" t="n">
        <x:v>194</x:v>
      </x:c>
      <x:c r="L93" s="12" t="n">
        <x:v>12.4</x:v>
      </x:c>
      <x:c r="M93" s="12" t="n">
        <x:v>-0.1</x:v>
      </x:c>
      <x:c r="N93" s="11" t="str">
        <x:v>Medium</x:v>
      </x:c>
      <x:c r="O93" s="13" t="n">
        <x:v>30</x:v>
      </x:c>
      <x:c r="P93" s="13" t="n">
        <x:v>4</x:v>
      </x:c>
      <x:c r="Q93" s="11"/>
      <x:c r="R93" s="11" t="str">
        <x:v>Veteran model: 2025 form, prior-year trend and same team pass/run forecast; team pass volume #30, rush volume #4</x:v>
      </x:c>
    </x:row>
    <x:row r="94" ht="19" customHeight="1">
      <x:c r="A94" s="13" t="n">
        <x:v>90</x:v>
      </x:c>
      <x:c r="B94" s="12" t="n">
        <x:v>141.7</x:v>
      </x:c>
      <x:c r="C94" s="12" t="n">
        <x:f>B94-A94</x:f>
        <x:v>51.69999999999999</x:v>
      </x:c>
      <x:c r="D94" s="11" t="str">
        <x:v>Zach Charbonnet</x:v>
      </x:c>
      <x:c r="E94" s="11" t="str">
        <x:v>RB</x:v>
      </x:c>
      <x:c r="F94" s="11" t="str">
        <x:v>SEA</x:v>
      </x:c>
      <x:c r="G94" s="13" t="n">
        <x:v>11</x:v>
      </x:c>
      <x:c r="H94" s="12" t="n">
        <x:v>177.5</x:v>
      </x:c>
      <x:c r="I94" s="12" t="n">
        <x:v>67</x:v>
      </x:c>
      <x:c r="J94" s="12" t="n">
        <x:v>110.5</x:v>
      </x:c>
      <x:c r="K94" s="12" t="n">
        <x:v>138.8</x:v>
      </x:c>
      <x:c r="L94" s="12" t="n">
        <x:v>12.5</x:v>
      </x:c>
      <x:c r="M94" s="12" t="n">
        <x:v>-2.6</x:v>
      </x:c>
      <x:c r="N94" s="11" t="str">
        <x:v>High</x:v>
      </x:c>
      <x:c r="O94" s="13" t="n">
        <x:v>23</x:v>
      </x:c>
      <x:c r="P94" s="13" t="n">
        <x:v>21</x:v>
      </x:c>
      <x:c r="Q94" s="11" t="str">
        <x:v>PUP</x:v>
      </x:c>
      <x:c r="R94" s="11" t="str">
        <x:v>Veteran model: 2025 form, prior-year trend and same team pass/run forecast; team pass volume #23, rush volume #21</x:v>
      </x:c>
    </x:row>
    <x:row r="95" ht="19" customHeight="1">
      <x:c r="A95" s="13" t="n">
        <x:v>91</x:v>
      </x:c>
      <x:c r="B95" s="12" t="n">
        <x:v>74.3</x:v>
      </x:c>
      <x:c r="C95" s="12" t="n">
        <x:f>B95-A95</x:f>
        <x:v>-16.700000000000003</x:v>
      </x:c>
      <x:c r="D95" s="11" t="str">
        <x:v>DK Metcalf</x:v>
      </x:c>
      <x:c r="E95" s="11" t="str">
        <x:v>WR</x:v>
      </x:c>
      <x:c r="F95" s="11" t="str">
        <x:v>PIT</x:v>
      </x:c>
      <x:c r="G95" s="13" t="n">
        <x:v>9</x:v>
      </x:c>
      <x:c r="H95" s="12" t="n">
        <x:v>175.4</x:v>
      </x:c>
      <x:c r="I95" s="12" t="n">
        <x:v>183</x:v>
      </x:c>
      <x:c r="J95" s="12" t="n">
        <x:v>-7.6</x:v>
      </x:c>
      <x:c r="K95" s="12" t="n">
        <x:v>178.1</x:v>
      </x:c>
      <x:c r="L95" s="12" t="n">
        <x:v>13.2</x:v>
      </x:c>
      <x:c r="M95" s="12" t="n">
        <x:v>-3.6</x:v>
      </x:c>
      <x:c r="N95" s="11" t="str">
        <x:v>High</x:v>
      </x:c>
      <x:c r="O95" s="13" t="n">
        <x:v>24</x:v>
      </x:c>
      <x:c r="P95" s="13" t="n">
        <x:v>18</x:v>
      </x:c>
      <x:c r="Q95" s="11" t="str">
        <x:v>Ques</x:v>
      </x:c>
      <x:c r="R95" s="11" t="str">
        <x:v>Veteran model: 2025 form, prior-year trend and same team pass/run forecast; team pass volume #24, rush volume #18</x:v>
      </x:c>
    </x:row>
    <x:row r="96" ht="19" customHeight="1">
      <x:c r="A96" s="13" t="n">
        <x:v>92</x:v>
      </x:c>
      <x:c r="B96" s="12" t="n">
        <x:v>78.6</x:v>
      </x:c>
      <x:c r="C96" s="12" t="n">
        <x:f>B96-A96</x:f>
        <x:v>-13.400000000000006</x:v>
      </x:c>
      <x:c r="D96" s="11" t="str">
        <x:v>Jordyn Tyson</x:v>
      </x:c>
      <x:c r="E96" s="11" t="str">
        <x:v>WR</x:v>
      </x:c>
      <x:c r="F96" s="11" t="str">
        <x:v>NO</x:v>
      </x:c>
      <x:c r="G96" s="13" t="n">
        <x:v>8</x:v>
      </x:c>
      <x:c r="H96" s="12" t="n">
        <x:v>175.7</x:v>
      </x:c>
      <x:c r="I96" s="12" t="n">
        <x:v>111</x:v>
      </x:c>
      <x:c r="J96" s="12" t="n">
        <x:v>64.7</x:v>
      </x:c>
      <x:c r="K96" s="12" t="n">
        <x:v>127.2</x:v>
      </x:c>
      <x:c r="L96" s="12" t="n">
        <x:v>14.9</x:v>
      </x:c>
      <x:c r="M96" s="12" t="n">
        <x:v>-3.9</x:v>
      </x:c>
      <x:c r="N96" s="11" t="str">
        <x:v>Low</x:v>
      </x:c>
      <x:c r="O96" s="13" t="n">
        <x:v>8</x:v>
      </x:c>
      <x:c r="P96" s="13" t="n">
        <x:v>22</x:v>
      </x:c>
      <x:c r="Q96" s="11" t="str">
        <x:v>Doub</x:v>
      </x:c>
      <x:c r="R96" s="11" t="str">
        <x:v>Rookie model: pick 8, age and destination-team environment; team pass volume #8, rush volume #22</x:v>
      </x:c>
    </x:row>
    <x:row r="97" ht="19" customHeight="1">
      <x:c r="A97" s="13" t="n">
        <x:v>93</x:v>
      </x:c>
      <x:c r="B97" s="12" t="n">
        <x:v>55.9</x:v>
      </x:c>
      <x:c r="C97" s="12" t="n">
        <x:f>B97-A97</x:f>
        <x:v>-37.1</x:v>
      </x:c>
      <x:c r="D97" s="11" t="str">
        <x:v>Terry McLaurin</x:v>
      </x:c>
      <x:c r="E97" s="11" t="str">
        <x:v>WR</x:v>
      </x:c>
      <x:c r="F97" s="11" t="str">
        <x:v>WAS</x:v>
      </x:c>
      <x:c r="G97" s="13" t="n">
        <x:v>7</x:v>
      </x:c>
      <x:c r="H97" s="12" t="n">
        <x:v>172.2</x:v>
      </x:c>
      <x:c r="I97" s="12" t="n">
        <x:v>214</x:v>
      </x:c>
      <x:c r="J97" s="12" t="n">
        <x:v>-41.8</x:v>
      </x:c>
      <x:c r="K97" s="12" t="n">
        <x:v>193.1</x:v>
      </x:c>
      <x:c r="L97" s="12" t="n">
        <x:v>10.4</x:v>
      </x:c>
      <x:c r="M97" s="12" t="n">
        <x:v>-4.8</x:v>
      </x:c>
      <x:c r="N97" s="11" t="str">
        <x:v>Medium</x:v>
      </x:c>
      <x:c r="O97" s="13" t="n">
        <x:v>29</x:v>
      </x:c>
      <x:c r="P97" s="13" t="n">
        <x:v>8</x:v>
      </x:c>
      <x:c r="Q97" s="11"/>
      <x:c r="R97" s="11" t="str">
        <x:v>Veteran model: 2025 form, prior-year trend and same team pass/run forecast; team pass volume #29, rush volume #8</x:v>
      </x:c>
    </x:row>
    <x:row r="98" ht="19" customHeight="1">
      <x:c r="A98" s="13" t="n">
        <x:v>94</x:v>
      </x:c>
      <x:c r="B98" s="12" t="n">
        <x:v>205.3</x:v>
      </x:c>
      <x:c r="C98" s="12" t="n">
        <x:f>B98-A98</x:f>
        <x:v>111.30000000000001</x:v>
      </x:c>
      <x:c r="D98" s="11" t="str">
        <x:v>Tre Tucker</x:v>
      </x:c>
      <x:c r="E98" s="11" t="str">
        <x:v>WR</x:v>
      </x:c>
      <x:c r="F98" s="11" t="str">
        <x:v>LV</x:v>
      </x:c>
      <x:c r="G98" s="13" t="n">
        <x:v>13</x:v>
      </x:c>
      <x:c r="H98" s="12" t="n">
        <x:v>173.3</x:v>
      </x:c>
      <x:c r="I98" s="12" t="n">
        <x:v>126</x:v>
      </x:c>
      <x:c r="J98" s="12" t="n">
        <x:v>47.3</x:v>
      </x:c>
      <x:c r="K98" s="12" t="n">
        <x:v>156.7</x:v>
      </x:c>
      <x:c r="L98" s="12" t="n">
        <x:v>13.1</x:v>
      </x:c>
      <x:c r="M98" s="12" t="n">
        <x:v>-5.2</x:v>
      </x:c>
      <x:c r="N98" s="11" t="str">
        <x:v>High</x:v>
      </x:c>
      <x:c r="O98" s="13" t="n">
        <x:v>15</x:v>
      </x:c>
      <x:c r="P98" s="13" t="n">
        <x:v>32</x:v>
      </x:c>
      <x:c r="Q98" s="11"/>
      <x:c r="R98" s="11" t="str">
        <x:v>Veteran model: 2025 form, prior-year trend and same team pass/run forecast; team pass volume #15, rush volume #32</x:v>
      </x:c>
    </x:row>
    <x:row r="99" ht="19" customHeight="1">
      <x:c r="A99" s="13" t="n">
        <x:v>95</x:v>
      </x:c>
      <x:c r="B99" s="12" t="n">
        <x:v>54</x:v>
      </x:c>
      <x:c r="C99" s="12" t="n">
        <x:f>B99-A99</x:f>
        <x:v>-41</x:v>
      </x:c>
      <x:c r="D99" s="11" t="str">
        <x:v>Joe Burrow</x:v>
      </x:c>
      <x:c r="E99" s="11" t="str">
        <x:v>QB</x:v>
      </x:c>
      <x:c r="F99" s="11" t="str">
        <x:v>CIN</x:v>
      </x:c>
      <x:c r="G99" s="13" t="n">
        <x:v>6</x:v>
      </x:c>
      <x:c r="H99" s="12" t="n">
        <x:v>274.2</x:v>
      </x:c>
      <x:c r="I99" s="12" t="n">
        <x:v>306</x:v>
      </x:c>
      <x:c r="J99" s="12" t="n">
        <x:v>-31.8</x:v>
      </x:c>
      <x:c r="K99" s="12" t="n">
        <x:v>290.1</x:v>
      </x:c>
      <x:c r="L99" s="12" t="n">
        <x:v>12.4</x:v>
      </x:c>
      <x:c r="M99" s="12" t="n">
        <x:v>-5.8</x:v>
      </x:c>
      <x:c r="N99" s="11" t="str">
        <x:v>Medium</x:v>
      </x:c>
      <x:c r="O99" s="13" t="n">
        <x:v>1</x:v>
      </x:c>
      <x:c r="P99" s="13" t="n">
        <x:v>31</x:v>
      </x:c>
      <x:c r="Q99" s="11"/>
      <x:c r="R99" s="11" t="str">
        <x:v>Veteran model: 2025 form, prior-year trend and same team pass/run forecast; team pass volume #1, rush volume #31</x:v>
      </x:c>
    </x:row>
    <x:row r="100" ht="19" customHeight="1">
      <x:c r="A100" s="13" t="n">
        <x:v>96</x:v>
      </x:c>
      <x:c r="B100" s="12" t="n">
        <x:v>87.6</x:v>
      </x:c>
      <x:c r="C100" s="12" t="n">
        <x:f>B100-A100</x:f>
        <x:v>-8.400000000000006</x:v>
      </x:c>
      <x:c r="D100" s="11" t="str">
        <x:v>Tony Pollard</x:v>
      </x:c>
      <x:c r="E100" s="11" t="str">
        <x:v>RB</x:v>
      </x:c>
      <x:c r="F100" s="11" t="str">
        <x:v>TEN</x:v>
      </x:c>
      <x:c r="G100" s="13" t="n">
        <x:v>9</x:v>
      </x:c>
      <x:c r="H100" s="12" t="n">
        <x:v>172.8</x:v>
      </x:c>
      <x:c r="I100" s="12" t="n">
        <x:v>160</x:v>
      </x:c>
      <x:c r="J100" s="12" t="n">
        <x:v>12.8</x:v>
      </x:c>
      <x:c r="K100" s="12" t="n">
        <x:v>168.3</x:v>
      </x:c>
      <x:c r="L100" s="12" t="n">
        <x:v>12</x:v>
      </x:c>
      <x:c r="M100" s="12" t="n">
        <x:v>-5.9</x:v>
      </x:c>
      <x:c r="N100" s="11" t="str">
        <x:v>High</x:v>
      </x:c>
      <x:c r="O100" s="13" t="n">
        <x:v>18</x:v>
      </x:c>
      <x:c r="P100" s="13" t="n">
        <x:v>30</x:v>
      </x:c>
      <x:c r="Q100" s="11"/>
      <x:c r="R100" s="11" t="str">
        <x:v>Veteran model: 2025 form, prior-year trend and same team pass/run forecast; team pass volume #18, rush volume #30</x:v>
      </x:c>
    </x:row>
    <x:row r="101" ht="19" customHeight="1">
      <x:c r="A101" s="13" t="n">
        <x:v>97</x:v>
      </x:c>
      <x:c r="B101" s="12" t="n">
        <x:v>138.6</x:v>
      </x:c>
      <x:c r="C101" s="12" t="n">
        <x:f>B101-A101</x:f>
        <x:v>41.599999999999994</x:v>
      </x:c>
      <x:c r="D101" s="11" t="str">
        <x:v>Khalil Shakir</x:v>
      </x:c>
      <x:c r="E101" s="11" t="str">
        <x:v>WR</x:v>
      </x:c>
      <x:c r="F101" s="11" t="str">
        <x:v>BUF</x:v>
      </x:c>
      <x:c r="G101" s="13" t="n">
        <x:v>7</x:v>
      </x:c>
      <x:c r="H101" s="12" t="n">
        <x:v>171.7</x:v>
      </x:c>
      <x:c r="I101" s="12" t="n">
        <x:v>171</x:v>
      </x:c>
      <x:c r="J101" s="12" t="n">
        <x:v>0.7</x:v>
      </x:c>
      <x:c r="K101" s="12" t="n">
        <x:v>171.5</x:v>
      </x:c>
      <x:c r="L101" s="12" t="n">
        <x:v>13.2</x:v>
      </x:c>
      <x:c r="M101" s="12" t="n">
        <x:v>-6.5</x:v>
      </x:c>
      <x:c r="N101" s="11" t="str">
        <x:v>High</x:v>
      </x:c>
      <x:c r="O101" s="13" t="n">
        <x:v>28</x:v>
      </x:c>
      <x:c r="P101" s="13" t="n">
        <x:v>3</x:v>
      </x:c>
      <x:c r="Q101" s="11" t="str">
        <x:v>Ques</x:v>
      </x:c>
      <x:c r="R101" s="11" t="str">
        <x:v>Veteran model: 2025 form, prior-year trend and same team pass/run forecast; team pass volume #28, rush volume #3</x:v>
      </x:c>
    </x:row>
    <x:row r="102" ht="19" customHeight="1">
      <x:c r="A102" s="13" t="n">
        <x:v>98</x:v>
      </x:c>
      <x:c r="B102" s="12" t="n">
        <x:v>160.9</x:v>
      </x:c>
      <x:c r="C102" s="12" t="n">
        <x:f>B102-A102</x:f>
        <x:v>62.900000000000006</x:v>
      </x:c>
      <x:c r="D102" s="11" t="str">
        <x:v>Tyrone Tracy</x:v>
      </x:c>
      <x:c r="E102" s="11" t="str">
        <x:v>RB</x:v>
      </x:c>
      <x:c r="F102" s="11" t="str">
        <x:v>NYG</x:v>
      </x:c>
      <x:c r="G102" s="13" t="n">
        <x:v>8</x:v>
      </x:c>
      <x:c r="H102" s="12" t="n">
        <x:v>171.5</x:v>
      </x:c>
      <x:c r="I102" s="12" t="n">
        <x:v>111</x:v>
      </x:c>
      <x:c r="J102" s="12" t="n">
        <x:v>60.5</x:v>
      </x:c>
      <x:c r="K102" s="12" t="n">
        <x:v>150.4</x:v>
      </x:c>
      <x:c r="L102" s="12" t="n">
        <x:v>12.6</x:v>
      </x:c>
      <x:c r="M102" s="12" t="n">
        <x:v>-7.1</x:v>
      </x:c>
      <x:c r="N102" s="11" t="str">
        <x:v>High</x:v>
      </x:c>
      <x:c r="O102" s="13" t="n">
        <x:v>19</x:v>
      </x:c>
      <x:c r="P102" s="13" t="n">
        <x:v>10</x:v>
      </x:c>
      <x:c r="Q102" s="11"/>
      <x:c r="R102" s="11" t="str">
        <x:v>Veteran model: 2025 form, prior-year trend and same team pass/run forecast; team pass volume #19, rush volume #10</x:v>
      </x:c>
    </x:row>
    <x:row r="103" ht="19" customHeight="1">
      <x:c r="A103" s="13" t="n">
        <x:v>99</x:v>
      </x:c>
      <x:c r="B103" s="12" t="n">
        <x:v>76.7</x:v>
      </x:c>
      <x:c r="C103" s="12" t="n">
        <x:f>B103-A103</x:f>
        <x:v>-22.299999999999997</x:v>
      </x:c>
      <x:c r="D103" s="11" t="str">
        <x:v>Parker Washington</x:v>
      </x:c>
      <x:c r="E103" s="11" t="str">
        <x:v>WR</x:v>
      </x:c>
      <x:c r="F103" s="11" t="str">
        <x:v>JAX</x:v>
      </x:c>
      <x:c r="G103" s="13" t="n">
        <x:v>7</x:v>
      </x:c>
      <x:c r="H103" s="12" t="n">
        <x:v>170.1</x:v>
      </x:c>
      <x:c r="I103" s="12" t="n">
        <x:v>212</x:v>
      </x:c>
      <x:c r="J103" s="12" t="n">
        <x:v>-41.9</x:v>
      </x:c>
      <x:c r="K103" s="12" t="n">
        <x:v>184.7</x:v>
      </x:c>
      <x:c r="L103" s="12" t="n">
        <x:v>13.3</x:v>
      </x:c>
      <x:c r="M103" s="12" t="n">
        <x:v>-7.8</x:v>
      </x:c>
      <x:c r="N103" s="11" t="str">
        <x:v>High</x:v>
      </x:c>
      <x:c r="O103" s="13" t="n">
        <x:v>11</x:v>
      </x:c>
      <x:c r="P103" s="13" t="n">
        <x:v>15</x:v>
      </x:c>
      <x:c r="Q103" s="11" t="str">
        <x:v>Ques</x:v>
      </x:c>
      <x:c r="R103" s="11" t="str">
        <x:v>Veteran model: 2025 form, prior-year trend and same team pass/run forecast; team pass volume #11, rush volume #15</x:v>
      </x:c>
    </x:row>
    <x:row r="104" ht="19" customHeight="1">
      <x:c r="A104" s="13" t="n">
        <x:v>100</x:v>
      </x:c>
      <x:c r="B104" s="12" t="n">
        <x:v>193.2</x:v>
      </x:c>
      <x:c r="C104" s="12" t="n">
        <x:f>B104-A104</x:f>
        <x:v>93.19999999999999</x:v>
      </x:c>
      <x:c r="D104" s="11" t="str">
        <x:v>Dalton Schultz</x:v>
      </x:c>
      <x:c r="E104" s="11" t="str">
        <x:v>TE</x:v>
      </x:c>
      <x:c r="F104" s="11" t="str">
        <x:v>HOU</x:v>
      </x:c>
      <x:c r="G104" s="13" t="n">
        <x:v>8</x:v>
      </x:c>
      <x:c r="H104" s="12" t="n">
        <x:v>148.2</x:v>
      </x:c>
      <x:c r="I104" s="12" t="n">
        <x:v>139</x:v>
      </x:c>
      <x:c r="J104" s="12" t="n">
        <x:v>9.2</x:v>
      </x:c>
      <x:c r="K104" s="12" t="n">
        <x:v>145</x:v>
      </x:c>
      <x:c r="L104" s="12" t="n">
        <x:v>12.7</x:v>
      </x:c>
      <x:c r="M104" s="12" t="n">
        <x:v>-8</x:v>
      </x:c>
      <x:c r="N104" s="11" t="str">
        <x:v>High</x:v>
      </x:c>
      <x:c r="O104" s="13" t="n">
        <x:v>9</x:v>
      </x:c>
      <x:c r="P104" s="13" t="n">
        <x:v>17</x:v>
      </x:c>
      <x:c r="Q104" s="11"/>
      <x:c r="R104" s="11" t="str">
        <x:v>Veteran model: 2025 form, prior-year trend and same team pass/run forecast; team pass volume #9, rush volume #17</x:v>
      </x:c>
    </x:row>
    <x:row r="105" ht="19" customHeight="1">
      <x:c r="A105" s="13" t="n">
        <x:v>101</x:v>
      </x:c>
      <x:c r="B105" s="12" t="n">
        <x:v>67.1</x:v>
      </x:c>
      <x:c r="C105" s="12" t="n">
        <x:f>B105-A105</x:f>
        <x:v>-33.900000000000006</x:v>
      </x:c>
      <x:c r="D105" s="11" t="str">
        <x:v>Harold Fannin</x:v>
      </x:c>
      <x:c r="E105" s="11" t="str">
        <x:v>TE</x:v>
      </x:c>
      <x:c r="F105" s="11" t="str">
        <x:v>CLE</x:v>
      </x:c>
      <x:c r="G105" s="13" t="n">
        <x:v>11</x:v>
      </x:c>
      <x:c r="H105" s="12" t="n">
        <x:v>148.4</x:v>
      </x:c>
      <x:c r="I105" s="12" t="n">
        <x:v>180</x:v>
      </x:c>
      <x:c r="J105" s="12" t="n">
        <x:v>-31.6</x:v>
      </x:c>
      <x:c r="K105" s="12" t="n">
        <x:v>164.2</x:v>
      </x:c>
      <x:c r="L105" s="12" t="n">
        <x:v>13.2</x:v>
      </x:c>
      <x:c r="M105" s="12" t="n">
        <x:v>-8.2</x:v>
      </x:c>
      <x:c r="N105" s="11" t="str">
        <x:v>Medium</x:v>
      </x:c>
      <x:c r="O105" s="13" t="n">
        <x:v>4</x:v>
      </x:c>
      <x:c r="P105" s="13" t="n">
        <x:v>26</x:v>
      </x:c>
      <x:c r="Q105" s="11"/>
      <x:c r="R105" s="11" t="str">
        <x:v>Veteran model: 2025 form, prior-year trend and same team pass/run forecast; team pass volume #4, rush volume #26</x:v>
      </x:c>
    </x:row>
    <x:row r="106" ht="19" customHeight="1">
      <x:c r="A106" s="13" t="n">
        <x:v>102</x:v>
      </x:c>
      <x:c r="B106" s="12" t="n">
        <x:v>102.1</x:v>
      </x:c>
      <x:c r="C106" s="12" t="n">
        <x:f>B106-A106</x:f>
        <x:v>0.09999999999999432</x:v>
      </x:c>
      <x:c r="D106" s="11" t="str">
        <x:v>Michael Pittman</x:v>
      </x:c>
      <x:c r="E106" s="11" t="str">
        <x:v>WR</x:v>
      </x:c>
      <x:c r="F106" s="11" t="str">
        <x:v>PIT</x:v>
      </x:c>
      <x:c r="G106" s="13" t="n">
        <x:v>9</x:v>
      </x:c>
      <x:c r="H106" s="12" t="n">
        <x:v>169.3</x:v>
      </x:c>
      <x:c r="I106" s="12" t="n">
        <x:v>171</x:v>
      </x:c>
      <x:c r="J106" s="12" t="n">
        <x:v>-1.7</x:v>
      </x:c>
      <x:c r="K106" s="12" t="n">
        <x:v>169.9</x:v>
      </x:c>
      <x:c r="L106" s="12" t="n">
        <x:v>13.8</x:v>
      </x:c>
      <x:c r="M106" s="12" t="n">
        <x:v>-8.8</x:v>
      </x:c>
      <x:c r="N106" s="11" t="str">
        <x:v>High</x:v>
      </x:c>
      <x:c r="O106" s="13" t="n">
        <x:v>24</x:v>
      </x:c>
      <x:c r="P106" s="13" t="n">
        <x:v>18</x:v>
      </x:c>
      <x:c r="Q106" s="11" t="str">
        <x:v>Ques</x:v>
      </x:c>
      <x:c r="R106" s="11" t="str">
        <x:v>Veteran model: 2025 form, prior-year trend and new team pass/run forecast; team pass volume #24, rush volume #18</x:v>
      </x:c>
    </x:row>
    <x:row r="107" ht="19" customHeight="1">
      <x:c r="A107" s="13" t="n">
        <x:v>103</x:v>
      </x:c>
      <x:c r="B107" s="12" t="n">
        <x:v>117.9</x:v>
      </x:c>
      <x:c r="C107" s="12" t="n">
        <x:f>B107-A107</x:f>
        <x:v>14.900000000000006</x:v>
      </x:c>
      <x:c r="D107" s="11" t="str">
        <x:v>Oronde Gadsden</x:v>
      </x:c>
      <x:c r="E107" s="11" t="str">
        <x:v>TE</x:v>
      </x:c>
      <x:c r="F107" s="11" t="str">
        <x:v>LAC</x:v>
      </x:c>
      <x:c r="G107" s="13" t="n">
        <x:v>7</x:v>
      </x:c>
      <x:c r="H107" s="12" t="n">
        <x:v>147.1</x:v>
      </x:c>
      <x:c r="I107" s="12" t="n">
        <x:v>142</x:v>
      </x:c>
      <x:c r="J107" s="12" t="n">
        <x:v>5.1</x:v>
      </x:c>
      <x:c r="K107" s="12" t="n">
        <x:v>144.5</x:v>
      </x:c>
      <x:c r="L107" s="12" t="n">
        <x:v>12.9</x:v>
      </x:c>
      <x:c r="M107" s="12" t="n">
        <x:v>-9</x:v>
      </x:c>
      <x:c r="N107" s="11" t="str">
        <x:v>Medium</x:v>
      </x:c>
      <x:c r="O107" s="13" t="n">
        <x:v>14</x:v>
      </x:c>
      <x:c r="P107" s="13" t="n">
        <x:v>16</x:v>
      </x:c>
      <x:c r="Q107" s="11"/>
      <x:c r="R107" s="11" t="str">
        <x:v>Veteran model: 2025 form, prior-year trend and same team pass/run forecast; team pass volume #14, rush volume #16</x:v>
      </x:c>
    </x:row>
    <x:row r="108" ht="19" customHeight="1">
      <x:c r="A108" s="13" t="n">
        <x:v>104</x:v>
      </x:c>
      <x:c r="B108" s="12" t="n">
        <x:v>139.3</x:v>
      </x:c>
      <x:c r="C108" s="12" t="n">
        <x:f>B108-A108</x:f>
        <x:v>35.30000000000001</x:v>
      </x:c>
      <x:c r="D108" s="11" t="str">
        <x:v>Xavier Worthy</x:v>
      </x:c>
      <x:c r="E108" s="11" t="str">
        <x:v>WR</x:v>
      </x:c>
      <x:c r="F108" s="11" t="str">
        <x:v>KC</x:v>
      </x:c>
      <x:c r="G108" s="13" t="n">
        <x:v>5</x:v>
      </x:c>
      <x:c r="H108" s="12" t="n">
        <x:v>168.2</x:v>
      </x:c>
      <x:c r="I108" s="12" t="n">
        <x:v>162</x:v>
      </x:c>
      <x:c r="J108" s="12" t="n">
        <x:v>6.2</x:v>
      </x:c>
      <x:c r="K108" s="12" t="n">
        <x:v>166</x:v>
      </x:c>
      <x:c r="L108" s="12" t="n">
        <x:v>12.9</x:v>
      </x:c>
      <x:c r="M108" s="12" t="n">
        <x:v>-9</x:v>
      </x:c>
      <x:c r="N108" s="11" t="str">
        <x:v>High</x:v>
      </x:c>
      <x:c r="O108" s="13" t="n">
        <x:v>5</x:v>
      </x:c>
      <x:c r="P108" s="13" t="n">
        <x:v>25</x:v>
      </x:c>
      <x:c r="Q108" s="11" t="str">
        <x:v>Ques</x:v>
      </x:c>
      <x:c r="R108" s="11" t="str">
        <x:v>Veteran model: 2025 form, prior-year trend and same team pass/run forecast; team pass volume #5, rush volume #25</x:v>
      </x:c>
    </x:row>
    <x:row r="109" ht="19" customHeight="1">
      <x:c r="A109" s="13" t="n">
        <x:v>105</x:v>
      </x:c>
      <x:c r="B109" s="12" t="n">
        <x:v>85.1</x:v>
      </x:c>
      <x:c r="C109" s="12" t="n">
        <x:f>B109-A109</x:f>
        <x:v>-19.900000000000006</x:v>
      </x:c>
      <x:c r="D109" s="11" t="str">
        <x:v>Rhamondre Stevenson</x:v>
      </x:c>
      <x:c r="E109" s="11" t="str">
        <x:v>RB</x:v>
      </x:c>
      <x:c r="F109" s="11" t="str">
        <x:v>NE</x:v>
      </x:c>
      <x:c r="G109" s="13" t="n">
        <x:v>11</x:v>
      </x:c>
      <x:c r="H109" s="12" t="n">
        <x:v>167.1</x:v>
      </x:c>
      <x:c r="I109" s="12" t="n">
        <x:v>169</x:v>
      </x:c>
      <x:c r="J109" s="12" t="n">
        <x:v>-1.9</x:v>
      </x:c>
      <x:c r="K109" s="12" t="n">
        <x:v>167.7</x:v>
      </x:c>
      <x:c r="L109" s="12" t="n">
        <x:v>11.3</x:v>
      </x:c>
      <x:c r="M109" s="12" t="n">
        <x:v>-9.3</x:v>
      </x:c>
      <x:c r="N109" s="11" t="str">
        <x:v>High</x:v>
      </x:c>
      <x:c r="O109" s="13" t="n">
        <x:v>27</x:v>
      </x:c>
      <x:c r="P109" s="13" t="n">
        <x:v>12</x:v>
      </x:c>
      <x:c r="Q109" s="11"/>
      <x:c r="R109" s="11" t="str">
        <x:v>Veteran model: 2025 form, prior-year trend and same team pass/run forecast; team pass volume #27, rush volume #12</x:v>
      </x:c>
    </x:row>
    <x:row r="110" ht="19" customHeight="1">
      <x:c r="A110" s="13" t="n">
        <x:v>106</x:v>
      </x:c>
      <x:c r="B110" s="12" t="n">
        <x:v>206.2</x:v>
      </x:c>
      <x:c r="C110" s="12" t="n">
        <x:f>B110-A110</x:f>
        <x:v>100.19999999999999</x:v>
      </x:c>
      <x:c r="D110" s="11" t="str">
        <x:v>Daniel Jones</x:v>
      </x:c>
      <x:c r="E110" s="11" t="str">
        <x:v>QB</x:v>
      </x:c>
      <x:c r="F110" s="11" t="str">
        <x:v>IND</x:v>
      </x:c>
      <x:c r="G110" s="13" t="n">
        <x:v>13</x:v>
      </x:c>
      <x:c r="H110" s="12" t="n">
        <x:v>268.2</x:v>
      </x:c>
      <x:c r="I110" s="12" t="n">
        <x:v>224</x:v>
      </x:c>
      <x:c r="J110" s="12" t="n">
        <x:v>44.2</x:v>
      </x:c>
      <x:c r="K110" s="12" t="n">
        <x:v>252.7</x:v>
      </x:c>
      <x:c r="L110" s="12" t="n">
        <x:v>11.8</x:v>
      </x:c>
      <x:c r="M110" s="12" t="n">
        <x:v>-9.7</x:v>
      </x:c>
      <x:c r="N110" s="11" t="str">
        <x:v>High</x:v>
      </x:c>
      <x:c r="O110" s="13" t="n">
        <x:v>21</x:v>
      </x:c>
      <x:c r="P110" s="13" t="n">
        <x:v>13</x:v>
      </x:c>
      <x:c r="Q110" s="11"/>
      <x:c r="R110" s="11" t="str">
        <x:v>Veteran model: 2025 form, prior-year trend and same team pass/run forecast; team pass volume #21, rush volume #13</x:v>
      </x:c>
    </x:row>
    <x:row r="111" ht="19" customHeight="1">
      <x:c r="A111" s="13" t="n">
        <x:v>107</x:v>
      </x:c>
      <x:c r="B111" s="12" t="n">
        <x:v>81.7</x:v>
      </x:c>
      <x:c r="C111" s="12" t="n">
        <x:f>B111-A111</x:f>
        <x:v>-25.299999999999997</x:v>
      </x:c>
      <x:c r="D111" s="11" t="str">
        <x:v>Dak Prescott</x:v>
      </x:c>
      <x:c r="E111" s="11" t="str">
        <x:v>QB</x:v>
      </x:c>
      <x:c r="F111" s="11" t="str">
        <x:v>DAL</x:v>
      </x:c>
      <x:c r="G111" s="13" t="n">
        <x:v>14</x:v>
      </x:c>
      <x:c r="H111" s="12" t="n">
        <x:v>268.8</x:v>
      </x:c>
      <x:c r="I111" s="12" t="n">
        <x:v>304</x:v>
      </x:c>
      <x:c r="J111" s="12" t="n">
        <x:v>-35.2</x:v>
      </x:c>
      <x:c r="K111" s="12" t="n">
        <x:v>281.1</x:v>
      </x:c>
      <x:c r="L111" s="12" t="n">
        <x:v>12.6</x:v>
      </x:c>
      <x:c r="M111" s="12" t="n">
        <x:v>-9.9</x:v>
      </x:c>
      <x:c r="N111" s="11" t="str">
        <x:v>High</x:v>
      </x:c>
      <x:c r="O111" s="13" t="n">
        <x:v>2</x:v>
      </x:c>
      <x:c r="P111" s="13" t="n">
        <x:v>20</x:v>
      </x:c>
      <x:c r="Q111" s="11"/>
      <x:c r="R111" s="11" t="str">
        <x:v>Veteran model: 2025 form, prior-year trend and same team pass/run forecast; team pass volume #2, rush volume #20</x:v>
      </x:c>
    </x:row>
    <x:row r="112" ht="19" customHeight="1">
      <x:c r="A112" s="13" t="n">
        <x:v>108</x:v>
      </x:c>
      <x:c r="B112" s="12" t="n">
        <x:v>95.8</x:v>
      </x:c>
      <x:c r="C112" s="12" t="n">
        <x:f>B112-A112</x:f>
        <x:v>-12.200000000000003</x:v>
      </x:c>
      <x:c r="D112" s="11" t="str">
        <x:v>Chris Godwin</x:v>
      </x:c>
      <x:c r="E112" s="11" t="str">
        <x:v>WR</x:v>
      </x:c>
      <x:c r="F112" s="11" t="str">
        <x:v>TB</x:v>
      </x:c>
      <x:c r="G112" s="13" t="n">
        <x:v>10</x:v>
      </x:c>
      <x:c r="H112" s="12" t="n">
        <x:v>158</x:v>
      </x:c>
      <x:c r="I112" s="12" t="n">
        <x:v>174</x:v>
      </x:c>
      <x:c r="J112" s="12" t="n">
        <x:v>-16</x:v>
      </x:c>
      <x:c r="K112" s="12" t="n">
        <x:v>166</x:v>
      </x:c>
      <x:c r="L112" s="12" t="n">
        <x:v>7.7</x:v>
      </x:c>
      <x:c r="M112" s="12" t="n">
        <x:v>-10</x:v>
      </x:c>
      <x:c r="N112" s="11" t="str">
        <x:v>Medium</x:v>
      </x:c>
      <x:c r="O112" s="13" t="n">
        <x:v>12</x:v>
      </x:c>
      <x:c r="P112" s="13" t="n">
        <x:v>11</x:v>
      </x:c>
      <x:c r="Q112" s="11"/>
      <x:c r="R112" s="11" t="str">
        <x:v>Veteran model: 2025 form, prior-year trend and same team pass/run forecast; team pass volume #12, rush volume #11</x:v>
      </x:c>
    </x:row>
    <x:row r="113" ht="19" customHeight="1">
      <x:c r="A113" s="13" t="n">
        <x:v>109</x:v>
      </x:c>
      <x:c r="B113" s="12" t="n">
        <x:v>115.9</x:v>
      </x:c>
      <x:c r="C113" s="12" t="n">
        <x:f>B113-A113</x:f>
        <x:v>6.900000000000006</x:v>
      </x:c>
      <x:c r="D113" s="11" t="str">
        <x:v>Stefon Diggs</x:v>
      </x:c>
      <x:c r="E113" s="11" t="str">
        <x:v>WR</x:v>
      </x:c>
      <x:c r="F113" s="11" t="str">
        <x:v>WAS</x:v>
      </x:c>
      <x:c r="G113" s="13" t="n">
        <x:v>7</x:v>
      </x:c>
      <x:c r="H113" s="12" t="n">
        <x:v>165.6</x:v>
      </x:c>
      <x:c r="I113" s="12" t="n">
        <x:v>157</x:v>
      </x:c>
      <x:c r="J113" s="12" t="n">
        <x:v>8.6</x:v>
      </x:c>
      <x:c r="K113" s="12" t="n">
        <x:v>162.6</x:v>
      </x:c>
      <x:c r="L113" s="12" t="n">
        <x:v>12.1</x:v>
      </x:c>
      <x:c r="M113" s="12" t="n">
        <x:v>-10.3</x:v>
      </x:c>
      <x:c r="N113" s="11" t="str">
        <x:v>High</x:v>
      </x:c>
      <x:c r="O113" s="13" t="n">
        <x:v>29</x:v>
      </x:c>
      <x:c r="P113" s="13" t="n">
        <x:v>8</x:v>
      </x:c>
      <x:c r="Q113" s="11"/>
      <x:c r="R113" s="11" t="str">
        <x:v>Veteran model: 2025 form, prior-year trend and new team pass/run forecast; team pass volume #29, rush volume #8</x:v>
      </x:c>
    </x:row>
    <x:row r="114" ht="19" customHeight="1">
      <x:c r="A114" s="13" t="n">
        <x:v>110</x:v>
      </x:c>
      <x:c r="B114" s="12" t="n">
        <x:v>88.5</x:v>
      </x:c>
      <x:c r="C114" s="12" t="n">
        <x:f>B114-A114</x:f>
        <x:v>-21.5</x:v>
      </x:c>
      <x:c r="D114" s="11" t="str">
        <x:v>Rico Dowdle</x:v>
      </x:c>
      <x:c r="E114" s="11" t="str">
        <x:v>RB</x:v>
      </x:c>
      <x:c r="F114" s="11" t="str">
        <x:v>PIT</x:v>
      </x:c>
      <x:c r="G114" s="13" t="n">
        <x:v>9</x:v>
      </x:c>
      <x:c r="H114" s="12" t="n">
        <x:v>166.8</x:v>
      </x:c>
      <x:c r="I114" s="12" t="n">
        <x:v>161</x:v>
      </x:c>
      <x:c r="J114" s="12" t="n">
        <x:v>5.8</x:v>
      </x:c>
      <x:c r="K114" s="12" t="n">
        <x:v>164.8</x:v>
      </x:c>
      <x:c r="L114" s="12" t="n">
        <x:v>13.3</x:v>
      </x:c>
      <x:c r="M114" s="12" t="n">
        <x:v>-11.2</x:v>
      </x:c>
      <x:c r="N114" s="11" t="str">
        <x:v>High</x:v>
      </x:c>
      <x:c r="O114" s="13" t="n">
        <x:v>24</x:v>
      </x:c>
      <x:c r="P114" s="13" t="n">
        <x:v>18</x:v>
      </x:c>
      <x:c r="Q114" s="11"/>
      <x:c r="R114" s="11" t="str">
        <x:v>Veteran model: 2025 form, prior-year trend and new team pass/run forecast; team pass volume #24, rush volume #18</x:v>
      </x:c>
    </x:row>
    <x:row r="115" ht="19" customHeight="1">
      <x:c r="A115" s="13" t="n">
        <x:v>111</x:v>
      </x:c>
      <x:c r="B115" s="12" t="n">
        <x:v>109.6</x:v>
      </x:c>
      <x:c r="C115" s="12" t="n">
        <x:f>B115-A115</x:f>
        <x:v>-1.4000000000000057</x:v>
      </x:c>
      <x:c r="D115" s="11" t="str">
        <x:v>Josh Downs</x:v>
      </x:c>
      <x:c r="E115" s="11" t="str">
        <x:v>WR</x:v>
      </x:c>
      <x:c r="F115" s="11" t="str">
        <x:v>IND</x:v>
      </x:c>
      <x:c r="G115" s="13" t="n">
        <x:v>13</x:v>
      </x:c>
      <x:c r="H115" s="12" t="n">
        <x:v>164.7</x:v>
      </x:c>
      <x:c r="I115" s="12" t="n">
        <x:v>172</x:v>
      </x:c>
      <x:c r="J115" s="12" t="n">
        <x:v>-7.3</x:v>
      </x:c>
      <x:c r="K115" s="12" t="n">
        <x:v>167.2</x:v>
      </x:c>
      <x:c r="L115" s="12" t="n">
        <x:v>12.5</x:v>
      </x:c>
      <x:c r="M115" s="12" t="n">
        <x:v>-11.3</x:v>
      </x:c>
      <x:c r="N115" s="11" t="str">
        <x:v>High</x:v>
      </x:c>
      <x:c r="O115" s="13" t="n">
        <x:v>21</x:v>
      </x:c>
      <x:c r="P115" s="13" t="n">
        <x:v>13</x:v>
      </x:c>
      <x:c r="Q115" s="11"/>
      <x:c r="R115" s="11" t="str">
        <x:v>Veteran model: 2025 form, prior-year trend and same team pass/run forecast; team pass volume #21, rush volume #13</x:v>
      </x:c>
    </x:row>
    <x:row r="116" ht="19" customHeight="1">
      <x:c r="A116" s="13" t="n">
        <x:v>112</x:v>
      </x:c>
      <x:c r="B116" s="12" t="n">
        <x:v>178.3</x:v>
      </x:c>
      <x:c r="C116" s="12" t="n">
        <x:f>B116-A116</x:f>
        <x:v>66.30000000000001</x:v>
      </x:c>
      <x:c r="D116" s="11" t="str">
        <x:v>Fernando Mendoza</x:v>
      </x:c>
      <x:c r="E116" s="11" t="str">
        <x:v>QB</x:v>
      </x:c>
      <x:c r="F116" s="11" t="str">
        <x:v>LV</x:v>
      </x:c>
      <x:c r="G116" s="13" t="n">
        <x:v>13</x:v>
      </x:c>
      <x:c r="H116" s="12" t="n">
        <x:v>266.6</x:v>
      </x:c>
      <x:c r="I116" s="12" t="n">
        <x:v>212</x:v>
      </x:c>
      <x:c r="J116" s="12" t="n">
        <x:v>54.6</x:v>
      </x:c>
      <x:c r="K116" s="12" t="n">
        <x:v>225.6</x:v>
      </x:c>
      <x:c r="L116" s="12" t="n">
        <x:v>13.1</x:v>
      </x:c>
      <x:c r="M116" s="12" t="n">
        <x:v>-12</x:v>
      </x:c>
      <x:c r="N116" s="11" t="str">
        <x:v>Low</x:v>
      </x:c>
      <x:c r="O116" s="13" t="n">
        <x:v>15</x:v>
      </x:c>
      <x:c r="P116" s="13" t="n">
        <x:v>32</x:v>
      </x:c>
      <x:c r="Q116" s="11"/>
      <x:c r="R116" s="11" t="str">
        <x:v>Rookie model: pick 1, age and destination-team environment; team pass volume #15, rush volume #32</x:v>
      </x:c>
    </x:row>
    <x:row r="117" ht="19" customHeight="1">
      <x:c r="A117" s="13" t="n">
        <x:v>113</x:v>
      </x:c>
      <x:c r="B117" s="12" t="n">
        <x:v>215.2</x:v>
      </x:c>
      <x:c r="C117" s="12" t="n">
        <x:f>B117-A117</x:f>
        <x:v>102.19999999999999</x:v>
      </x:c>
      <x:c r="D117" s="11" t="str">
        <x:v>Cade Otton</x:v>
      </x:c>
      <x:c r="E117" s="11" t="str">
        <x:v>TE</x:v>
      </x:c>
      <x:c r="F117" s="11" t="str">
        <x:v>TB</x:v>
      </x:c>
      <x:c r="G117" s="13" t="n">
        <x:v>10</x:v>
      </x:c>
      <x:c r="H117" s="12" t="n">
        <x:v>142.2</x:v>
      </x:c>
      <x:c r="I117" s="12" t="n">
        <x:v>122</x:v>
      </x:c>
      <x:c r="J117" s="12" t="n">
        <x:v>20.2</x:v>
      </x:c>
      <x:c r="K117" s="12" t="n">
        <x:v>135.1</x:v>
      </x:c>
      <x:c r="L117" s="12" t="n">
        <x:v>12.5</x:v>
      </x:c>
      <x:c r="M117" s="12" t="n">
        <x:v>-12.3</x:v>
      </x:c>
      <x:c r="N117" s="11" t="str">
        <x:v>High</x:v>
      </x:c>
      <x:c r="O117" s="13" t="n">
        <x:v>12</x:v>
      </x:c>
      <x:c r="P117" s="13" t="n">
        <x:v>11</x:v>
      </x:c>
      <x:c r="Q117" s="11" t="str">
        <x:v>Ques</x:v>
      </x:c>
      <x:c r="R117" s="11" t="str">
        <x:v>Veteran model: 2025 form, prior-year trend and same team pass/run forecast; team pass volume #12, rush volume #11</x:v>
      </x:c>
    </x:row>
    <x:row r="118" ht="19" customHeight="1">
      <x:c r="A118" s="13" t="n">
        <x:v>114</x:v>
      </x:c>
      <x:c r="B118" s="12" t="n">
        <x:v>166.4</x:v>
      </x:c>
      <x:c r="C118" s="12" t="n">
        <x:f>B118-A118</x:f>
        <x:v>52.400000000000006</x:v>
      </x:c>
      <x:c r="D118" s="11" t="str">
        <x:v>Woody Marks</x:v>
      </x:c>
      <x:c r="E118" s="11" t="str">
        <x:v>RB</x:v>
      </x:c>
      <x:c r="F118" s="11" t="str">
        <x:v>HOU</x:v>
      </x:c>
      <x:c r="G118" s="13" t="n">
        <x:v>8</x:v>
      </x:c>
      <x:c r="H118" s="12" t="n">
        <x:v>163.3</x:v>
      </x:c>
      <x:c r="I118" s="12" t="n">
        <x:v>84</x:v>
      </x:c>
      <x:c r="J118" s="12" t="n">
        <x:v>79.3</x:v>
      </x:c>
      <x:c r="K118" s="12" t="n">
        <x:v>123.7</x:v>
      </x:c>
      <x:c r="L118" s="12" t="n">
        <x:v>11.8</x:v>
      </x:c>
      <x:c r="M118" s="12" t="n">
        <x:v>-12.4</x:v>
      </x:c>
      <x:c r="N118" s="11" t="str">
        <x:v>Medium</x:v>
      </x:c>
      <x:c r="O118" s="13" t="n">
        <x:v>9</x:v>
      </x:c>
      <x:c r="P118" s="13" t="n">
        <x:v>17</x:v>
      </x:c>
      <x:c r="Q118" s="11"/>
      <x:c r="R118" s="11" t="str">
        <x:v>Veteran model: 2025 form, prior-year trend and same team pass/run forecast; team pass volume #9, rush volume #17</x:v>
      </x:c>
    </x:row>
    <x:row r="119" ht="19" customHeight="1">
      <x:c r="A119" s="13" t="n">
        <x:v>115</x:v>
      </x:c>
      <x:c r="B119" s="12" t="n">
        <x:v>204.9</x:v>
      </x:c>
      <x:c r="C119" s="12" t="n">
        <x:f>B119-A119</x:f>
        <x:v>89.9</x:v>
      </x:c>
      <x:c r="D119" s="11" t="str">
        <x:v>C.J. Stroud</x:v>
      </x:c>
      <x:c r="E119" s="11" t="str">
        <x:v>QB</x:v>
      </x:c>
      <x:c r="F119" s="11" t="str">
        <x:v>HOU</x:v>
      </x:c>
      <x:c r="G119" s="13" t="n">
        <x:v>8</x:v>
      </x:c>
      <x:c r="H119" s="12" t="n">
        <x:v>265.6</x:v>
      </x:c>
      <x:c r="I119" s="12" t="n">
        <x:v>248</x:v>
      </x:c>
      <x:c r="J119" s="12" t="n">
        <x:v>17.6</x:v>
      </x:c>
      <x:c r="K119" s="12" t="n">
        <x:v>259.4</x:v>
      </x:c>
      <x:c r="L119" s="12" t="n">
        <x:v>12.8</x:v>
      </x:c>
      <x:c r="M119" s="12" t="n">
        <x:v>-12.5</x:v>
      </x:c>
      <x:c r="N119" s="11" t="str">
        <x:v>High</x:v>
      </x:c>
      <x:c r="O119" s="13" t="n">
        <x:v>9</x:v>
      </x:c>
      <x:c r="P119" s="13" t="n">
        <x:v>17</x:v>
      </x:c>
      <x:c r="Q119" s="11"/>
      <x:c r="R119" s="11" t="str">
        <x:v>Veteran model: 2025 form, prior-year trend and same team pass/run forecast; team pass volume #9, rush volume #17</x:v>
      </x:c>
    </x:row>
    <x:row r="120" ht="19" customHeight="1">
      <x:c r="A120" s="13" t="n">
        <x:v>116</x:v>
      </x:c>
      <x:c r="B120" s="12" t="n">
        <x:v>120.7</x:v>
      </x:c>
      <x:c r="C120" s="12" t="n">
        <x:f>B120-A120</x:f>
        <x:v>4.700000000000003</x:v>
      </x:c>
      <x:c r="D120" s="11" t="str">
        <x:v>Brock Purdy</x:v>
      </x:c>
      <x:c r="E120" s="11" t="str">
        <x:v>QB</x:v>
      </x:c>
      <x:c r="F120" s="11" t="str">
        <x:v>SF</x:v>
      </x:c>
      <x:c r="G120" s="13" t="n">
        <x:v>8</x:v>
      </x:c>
      <x:c r="H120" s="12" t="n">
        <x:v>262.9</x:v>
      </x:c>
      <x:c r="I120" s="12" t="n">
        <x:v>303</x:v>
      </x:c>
      <x:c r="J120" s="12" t="n">
        <x:v>-40.1</x:v>
      </x:c>
      <x:c r="K120" s="12" t="n">
        <x:v>282.9</x:v>
      </x:c>
      <x:c r="L120" s="12" t="n">
        <x:v>11.6</x:v>
      </x:c>
      <x:c r="M120" s="12" t="n">
        <x:v>-13.2</x:v>
      </x:c>
      <x:c r="N120" s="11" t="str">
        <x:v>Medium</x:v>
      </x:c>
      <x:c r="O120" s="13" t="n">
        <x:v>16</x:v>
      </x:c>
      <x:c r="P120" s="13" t="n">
        <x:v>9</x:v>
      </x:c>
      <x:c r="Q120" s="11"/>
      <x:c r="R120" s="11" t="str">
        <x:v>Veteran model: 2025 form, prior-year trend and same team pass/run forecast; team pass volume #16, rush volume #9</x:v>
      </x:c>
    </x:row>
    <x:row r="121" ht="19" customHeight="1">
      <x:c r="A121" s="13" t="n">
        <x:v>117</x:v>
      </x:c>
      <x:c r="B121" s="12" t="n">
        <x:v>151.4</x:v>
      </x:c>
      <x:c r="C121" s="12" t="n">
        <x:f>B121-A121</x:f>
        <x:v>34.400000000000006</x:v>
      </x:c>
      <x:c r="D121" s="11" t="str">
        <x:v>Brenton Strange</x:v>
      </x:c>
      <x:c r="E121" s="11" t="str">
        <x:v>TE</x:v>
      </x:c>
      <x:c r="F121" s="11" t="str">
        <x:v>JAX</x:v>
      </x:c>
      <x:c r="G121" s="13" t="n">
        <x:v>7</x:v>
      </x:c>
      <x:c r="H121" s="12" t="n">
        <x:v>141.1</x:v>
      </x:c>
      <x:c r="I121" s="12" t="n">
        <x:v>161</x:v>
      </x:c>
      <x:c r="J121" s="12" t="n">
        <x:v>-19.9</x:v>
      </x:c>
      <x:c r="K121" s="12" t="n">
        <x:v>148.1</x:v>
      </x:c>
      <x:c r="L121" s="12" t="n">
        <x:v>12.6</x:v>
      </x:c>
      <x:c r="M121" s="12" t="n">
        <x:v>-13.2</x:v>
      </x:c>
      <x:c r="N121" s="11" t="str">
        <x:v>High</x:v>
      </x:c>
      <x:c r="O121" s="13" t="n">
        <x:v>11</x:v>
      </x:c>
      <x:c r="P121" s="13" t="n">
        <x:v>15</x:v>
      </x:c>
      <x:c r="Q121" s="11"/>
      <x:c r="R121" s="11" t="str">
        <x:v>Veteran model: 2025 form, prior-year trend and same team pass/run forecast; team pass volume #11, rush volume #15</x:v>
      </x:c>
    </x:row>
    <x:row r="122" ht="19" customHeight="1">
      <x:c r="A122" s="13" t="n">
        <x:v>118</x:v>
      </x:c>
      <x:c r="B122" s="12" t="n">
        <x:v>190.1</x:v>
      </x:c>
      <x:c r="C122" s="12" t="n">
        <x:f>B122-A122</x:f>
        <x:v>72.1</x:v>
      </x:c>
      <x:c r="D122" s="11" t="str">
        <x:v>Jerry Jeudy</x:v>
      </x:c>
      <x:c r="E122" s="11" t="str">
        <x:v>WR</x:v>
      </x:c>
      <x:c r="F122" s="11" t="str">
        <x:v>CLE</x:v>
      </x:c>
      <x:c r="G122" s="13" t="n">
        <x:v>11</x:v>
      </x:c>
      <x:c r="H122" s="12" t="n">
        <x:v>160</x:v>
      </x:c>
      <x:c r="I122" s="12" t="n">
        <x:v>120</x:v>
      </x:c>
      <x:c r="J122" s="12" t="n">
        <x:v>40</x:v>
      </x:c>
      <x:c r="K122" s="12" t="n">
        <x:v>146</x:v>
      </x:c>
      <x:c r="L122" s="12" t="n">
        <x:v>11.3</x:v>
      </x:c>
      <x:c r="M122" s="12" t="n">
        <x:v>-13.4</x:v>
      </x:c>
      <x:c r="N122" s="11" t="str">
        <x:v>High</x:v>
      </x:c>
      <x:c r="O122" s="13" t="n">
        <x:v>4</x:v>
      </x:c>
      <x:c r="P122" s="13" t="n">
        <x:v>26</x:v>
      </x:c>
      <x:c r="Q122" s="11"/>
      <x:c r="R122" s="11" t="str">
        <x:v>Veteran model: 2025 form, prior-year trend and same team pass/run forecast; team pass volume #4, rush volume #26</x:v>
      </x:c>
    </x:row>
    <x:row r="123" ht="19" customHeight="1">
      <x:c r="A123" s="13" t="n">
        <x:v>119</x:v>
      </x:c>
      <x:c r="B123" s="12" t="n">
        <x:v>83.5</x:v>
      </x:c>
      <x:c r="C123" s="12" t="n">
        <x:f>B123-A123</x:f>
        <x:v>-35.5</x:v>
      </x:c>
      <x:c r="D123" s="11" t="str">
        <x:v>Jaxson Dart</x:v>
      </x:c>
      <x:c r="E123" s="11" t="str">
        <x:v>QB</x:v>
      </x:c>
      <x:c r="F123" s="11" t="str">
        <x:v>NYG</x:v>
      </x:c>
      <x:c r="G123" s="13" t="n">
        <x:v>8</x:v>
      </x:c>
      <x:c r="H123" s="12" t="n">
        <x:v>263.5</x:v>
      </x:c>
      <x:c r="I123" s="12" t="n">
        <x:v>297</x:v>
      </x:c>
      <x:c r="J123" s="12" t="n">
        <x:v>-33.5</x:v>
      </x:c>
      <x:c r="K123" s="12" t="n">
        <x:v>280.2</x:v>
      </x:c>
      <x:c r="L123" s="12" t="n">
        <x:v>12.3</x:v>
      </x:c>
      <x:c r="M123" s="12" t="n">
        <x:v>-13.5</x:v>
      </x:c>
      <x:c r="N123" s="11" t="str">
        <x:v>Medium</x:v>
      </x:c>
      <x:c r="O123" s="13" t="n">
        <x:v>19</x:v>
      </x:c>
      <x:c r="P123" s="13" t="n">
        <x:v>10</x:v>
      </x:c>
      <x:c r="Q123" s="11"/>
      <x:c r="R123" s="11" t="str">
        <x:v>Veteran model: 2025 form, prior-year trend and same team pass/run forecast; team pass volume #19, rush volume #10</x:v>
      </x:c>
    </x:row>
    <x:row r="124" ht="19" customHeight="1">
      <x:c r="A124" s="13" t="n">
        <x:v>120</x:v>
      </x:c>
      <x:c r="B124" s="12" t="n">
        <x:v>202.1</x:v>
      </x:c>
      <x:c r="C124" s="12" t="n">
        <x:f>B124-A124</x:f>
        <x:v>82.1</x:v>
      </x:c>
      <x:c r="D124" s="11" t="str">
        <x:v>Mike Washington</x:v>
      </x:c>
      <x:c r="E124" s="11" t="str">
        <x:v>RB</x:v>
      </x:c>
      <x:c r="F124" s="11" t="str">
        <x:v>LV</x:v>
      </x:c>
      <x:c r="G124" s="13" t="n">
        <x:v>13</x:v>
      </x:c>
      <x:c r="H124" s="12" t="n">
        <x:v>153.3</x:v>
      </x:c>
      <x:c r="I124" s="12" t="n">
        <x:v>62</x:v>
      </x:c>
      <x:c r="J124" s="12" t="n">
        <x:v>91.3</x:v>
      </x:c>
      <x:c r="K124" s="12" t="n">
        <x:v>84.8</x:v>
      </x:c>
      <x:c r="L124" s="12" t="n">
        <x:v>8.4</x:v>
      </x:c>
      <x:c r="M124" s="12" t="n">
        <x:v>-13.7</x:v>
      </x:c>
      <x:c r="N124" s="11" t="str">
        <x:v>Low</x:v>
      </x:c>
      <x:c r="O124" s="13" t="n">
        <x:v>15</x:v>
      </x:c>
      <x:c r="P124" s="13" t="n">
        <x:v>32</x:v>
      </x:c>
      <x:c r="Q124" s="11"/>
      <x:c r="R124" s="11" t="str">
        <x:v>Rookie model: pick 122, age and destination-team environment; team pass volume #15, rush volume #32</x:v>
      </x:c>
    </x:row>
    <x:row r="125" ht="19" customHeight="1">
      <x:c r="A125" s="13" t="n">
        <x:v>121</x:v>
      </x:c>
      <x:c r="B125" s="12" t="n">
        <x:v>177.5</x:v>
      </x:c>
      <x:c r="C125" s="12" t="n">
        <x:f>B125-A125</x:f>
        <x:v>56.5</x:v>
      </x:c>
      <x:c r="D125" s="11" t="str">
        <x:v>Sam Darnold</x:v>
      </x:c>
      <x:c r="E125" s="11" t="str">
        <x:v>QB</x:v>
      </x:c>
      <x:c r="F125" s="11" t="str">
        <x:v>SEA</x:v>
      </x:c>
      <x:c r="G125" s="13" t="n">
        <x:v>11</x:v>
      </x:c>
      <x:c r="H125" s="12" t="n">
        <x:v>263.8</x:v>
      </x:c>
      <x:c r="I125" s="12" t="n">
        <x:v>263</x:v>
      </x:c>
      <x:c r="J125" s="12" t="n">
        <x:v>0.8</x:v>
      </x:c>
      <x:c r="K125" s="12" t="n">
        <x:v>263.5</x:v>
      </x:c>
      <x:c r="L125" s="12" t="n">
        <x:v>12.9</x:v>
      </x:c>
      <x:c r="M125" s="12" t="n">
        <x:v>-14</x:v>
      </x:c>
      <x:c r="N125" s="11" t="str">
        <x:v>High</x:v>
      </x:c>
      <x:c r="O125" s="13" t="n">
        <x:v>23</x:v>
      </x:c>
      <x:c r="P125" s="13" t="n">
        <x:v>21</x:v>
      </x:c>
      <x:c r="Q125" s="11"/>
      <x:c r="R125" s="11" t="str">
        <x:v>Veteran model: 2025 form, prior-year trend and same team pass/run forecast; team pass volume #23, rush volume #21</x:v>
      </x:c>
    </x:row>
    <x:row r="126" ht="19" customHeight="1">
      <x:c r="A126" s="13" t="n">
        <x:v>122</x:v>
      </x:c>
      <x:c r="B126" s="12" t="n">
        <x:v>232.2</x:v>
      </x:c>
      <x:c r="C126" s="12" t="n">
        <x:f>B126-A126</x:f>
        <x:v>110.19999999999999</x:v>
      </x:c>
      <x:c r="D126" s="11" t="str">
        <x:v>Theo Johnson</x:v>
      </x:c>
      <x:c r="E126" s="11" t="str">
        <x:v>TE</x:v>
      </x:c>
      <x:c r="F126" s="11" t="str">
        <x:v>NYG</x:v>
      </x:c>
      <x:c r="G126" s="13" t="n">
        <x:v>8</x:v>
      </x:c>
      <x:c r="H126" s="12" t="n">
        <x:v>140.4</x:v>
      </x:c>
      <x:c r="I126" s="12" t="n">
        <x:v>77</x:v>
      </x:c>
      <x:c r="J126" s="12" t="n">
        <x:v>63.4</x:v>
      </x:c>
      <x:c r="K126" s="12" t="n">
        <x:v>118.2</x:v>
      </x:c>
      <x:c r="L126" s="12" t="n">
        <x:v>12.9</x:v>
      </x:c>
      <x:c r="M126" s="12" t="n">
        <x:v>-14</x:v>
      </x:c>
      <x:c r="N126" s="11" t="str">
        <x:v>High</x:v>
      </x:c>
      <x:c r="O126" s="13" t="n">
        <x:v>19</x:v>
      </x:c>
      <x:c r="P126" s="13" t="n">
        <x:v>10</x:v>
      </x:c>
      <x:c r="Q126" s="11"/>
      <x:c r="R126" s="11" t="str">
        <x:v>Veteran model: 2025 form, prior-year trend and same team pass/run forecast; team pass volume #19, rush volume #10</x:v>
      </x:c>
    </x:row>
    <x:row r="127" ht="19" customHeight="1">
      <x:c r="A127" s="13" t="n">
        <x:v>123</x:v>
      </x:c>
      <x:c r="B127" s="12" t="n">
        <x:v>59.5</x:v>
      </x:c>
      <x:c r="C127" s="12" t="n">
        <x:f>B127-A127</x:f>
        <x:v>-63.5</x:v>
      </x:c>
      <x:c r="D127" s="11" t="str">
        <x:v>Mike Evans</x:v>
      </x:c>
      <x:c r="E127" s="11" t="str">
        <x:v>WR</x:v>
      </x:c>
      <x:c r="F127" s="11" t="str">
        <x:v>SF</x:v>
      </x:c>
      <x:c r="G127" s="13" t="n">
        <x:v>8</x:v>
      </x:c>
      <x:c r="H127" s="12" t="n">
        <x:v>154.7</x:v>
      </x:c>
      <x:c r="I127" s="12" t="n">
        <x:v>222</x:v>
      </x:c>
      <x:c r="J127" s="12" t="n">
        <x:v>-67.3</x:v>
      </x:c>
      <x:c r="K127" s="12" t="n">
        <x:v>188.3</x:v>
      </x:c>
      <x:c r="L127" s="12" t="n">
        <x:v>9.7</x:v>
      </x:c>
      <x:c r="M127" s="12" t="n">
        <x:v>-14.5</x:v>
      </x:c>
      <x:c r="N127" s="11" t="str">
        <x:v>Medium</x:v>
      </x:c>
      <x:c r="O127" s="13" t="n">
        <x:v>16</x:v>
      </x:c>
      <x:c r="P127" s="13" t="n">
        <x:v>9</x:v>
      </x:c>
      <x:c r="Q127" s="11" t="str">
        <x:v>Ques</x:v>
      </x:c>
      <x:c r="R127" s="11" t="str">
        <x:v>Veteran model: 2025 form, prior-year trend and new team pass/run forecast; team pass volume #16, rush volume #9</x:v>
      </x:c>
    </x:row>
    <x:row r="128" ht="19" customHeight="1">
      <x:c r="A128" s="13" t="n">
        <x:v>124</x:v>
      </x:c>
      <x:c r="B128" s="12" t="n">
        <x:v>131.3</x:v>
      </x:c>
      <x:c r="C128" s="12" t="n">
        <x:f>B128-A128</x:f>
        <x:v>7.300000000000011</x:v>
      </x:c>
      <x:c r="D128" s="11" t="str">
        <x:v>Romeo Doubs</x:v>
      </x:c>
      <x:c r="E128" s="11" t="str">
        <x:v>WR</x:v>
      </x:c>
      <x:c r="F128" s="11" t="str">
        <x:v>NE</x:v>
      </x:c>
      <x:c r="G128" s="13" t="n">
        <x:v>11</x:v>
      </x:c>
      <x:c r="H128" s="12" t="n">
        <x:v>162.4</x:v>
      </x:c>
      <x:c r="I128" s="12" t="n">
        <x:v>161</x:v>
      </x:c>
      <x:c r="J128" s="12" t="n">
        <x:v>1.4</x:v>
      </x:c>
      <x:c r="K128" s="12" t="n">
        <x:v>161.9</x:v>
      </x:c>
      <x:c r="L128" s="12" t="n">
        <x:v>13.9</x:v>
      </x:c>
      <x:c r="M128" s="12" t="n">
        <x:v>-14.5</x:v>
      </x:c>
      <x:c r="N128" s="11" t="str">
        <x:v>High</x:v>
      </x:c>
      <x:c r="O128" s="13" t="n">
        <x:v>27</x:v>
      </x:c>
      <x:c r="P128" s="13" t="n">
        <x:v>12</x:v>
      </x:c>
      <x:c r="Q128" s="11"/>
      <x:c r="R128" s="11" t="str">
        <x:v>Veteran model: 2025 form, prior-year trend and new team pass/run forecast; team pass volume #27, rush volume #12</x:v>
      </x:c>
    </x:row>
    <x:row r="129" ht="19" customHeight="1">
      <x:c r="A129" s="13" t="n">
        <x:v>125</x:v>
      </x:c>
      <x:c r="B129" s="12" t="n">
        <x:v>160.2</x:v>
      </x:c>
      <x:c r="C129" s="12" t="n">
        <x:f>B129-A129</x:f>
        <x:v>35.19999999999999</x:v>
      </x:c>
      <x:c r="D129" s="11" t="str">
        <x:v>Alvin Kamara</x:v>
      </x:c>
      <x:c r="E129" s="11" t="str">
        <x:v>RB</x:v>
      </x:c>
      <x:c r="F129" s="11" t="str">
        <x:v>NO</x:v>
      </x:c>
      <x:c r="G129" s="13" t="n">
        <x:v>8</x:v>
      </x:c>
      <x:c r="H129" s="12" t="n">
        <x:v>154</x:v>
      </x:c>
      <x:c r="I129" s="12" t="n">
        <x:v>63</x:v>
      </x:c>
      <x:c r="J129" s="12" t="n">
        <x:v>91</x:v>
      </x:c>
      <x:c r="K129" s="12" t="n">
        <x:v>108.5</x:v>
      </x:c>
      <x:c r="L129" s="12" t="n">
        <x:v>9.4</x:v>
      </x:c>
      <x:c r="M129" s="12" t="n">
        <x:v>-15</x:v>
      </x:c>
      <x:c r="N129" s="11" t="str">
        <x:v>Medium</x:v>
      </x:c>
      <x:c r="O129" s="13" t="n">
        <x:v>8</x:v>
      </x:c>
      <x:c r="P129" s="13" t="n">
        <x:v>22</x:v>
      </x:c>
      <x:c r="Q129" s="11" t="str">
        <x:v>Ques</x:v>
      </x:c>
      <x:c r="R129" s="11" t="str">
        <x:v>Veteran model: 2025 form, prior-year trend and same team pass/run forecast; team pass volume #8, rush volume #22</x:v>
      </x:c>
    </x:row>
    <x:row r="130" ht="19" customHeight="1">
      <x:c r="A130" s="13" t="n">
        <x:v>126</x:v>
      </x:c>
      <x:c r="B130" s="12" t="n">
        <x:v>100.8</x:v>
      </x:c>
      <x:c r="C130" s="12" t="n">
        <x:f>B130-A130</x:f>
        <x:v>-25.200000000000003</x:v>
      </x:c>
      <x:c r="D130" s="11" t="str">
        <x:v>Jake Ferguson</x:v>
      </x:c>
      <x:c r="E130" s="11" t="str">
        <x:v>TE</x:v>
      </x:c>
      <x:c r="F130" s="11" t="str">
        <x:v>DAL</x:v>
      </x:c>
      <x:c r="G130" s="13" t="n">
        <x:v>14</x:v>
      </x:c>
      <x:c r="H130" s="12" t="n">
        <x:v>141.9</x:v>
      </x:c>
      <x:c r="I130" s="12" t="n">
        <x:v>160</x:v>
      </x:c>
      <x:c r="J130" s="12" t="n">
        <x:v>-18.1</x:v>
      </x:c>
      <x:c r="K130" s="12" t="n">
        <x:v>148.2</x:v>
      </x:c>
      <x:c r="L130" s="12" t="n">
        <x:v>15.1</x:v>
      </x:c>
      <x:c r="M130" s="12" t="n">
        <x:v>-15.1</x:v>
      </x:c>
      <x:c r="N130" s="11" t="str">
        <x:v>High</x:v>
      </x:c>
      <x:c r="O130" s="13" t="n">
        <x:v>2</x:v>
      </x:c>
      <x:c r="P130" s="13" t="n">
        <x:v>20</x:v>
      </x:c>
      <x:c r="Q130" s="11"/>
      <x:c r="R130" s="11" t="str">
        <x:v>Veteran model: 2025 form, prior-year trend and same team pass/run forecast; team pass volume #2, rush volume #20</x:v>
      </x:c>
    </x:row>
    <x:row r="131" ht="19" customHeight="1">
      <x:c r="A131" s="13" t="n">
        <x:v>127</x:v>
      </x:c>
      <x:c r="B131" s="12" t="n">
        <x:v>114.5</x:v>
      </x:c>
      <x:c r="C131" s="12" t="n">
        <x:f>B131-A131</x:f>
        <x:v>-12.5</x:v>
      </x:c>
      <x:c r="D131" s="11" t="str">
        <x:v>Jayden Reed</x:v>
      </x:c>
      <x:c r="E131" s="11" t="str">
        <x:v>WR</x:v>
      </x:c>
      <x:c r="F131" s="11" t="str">
        <x:v>GB</x:v>
      </x:c>
      <x:c r="G131" s="13" t="n">
        <x:v>11</x:v>
      </x:c>
      <x:c r="H131" s="12" t="n">
        <x:v>156.2</x:v>
      </x:c>
      <x:c r="I131" s="12" t="n">
        <x:v>198</x:v>
      </x:c>
      <x:c r="J131" s="12" t="n">
        <x:v>-41.8</x:v>
      </x:c>
      <x:c r="K131" s="12" t="n">
        <x:v>187.6</x:v>
      </x:c>
      <x:c r="L131" s="12" t="n">
        <x:v>11</x:v>
      </x:c>
      <x:c r="M131" s="12" t="n">
        <x:v>-15.5</x:v>
      </x:c>
      <x:c r="N131" s="11" t="str">
        <x:v>Low</x:v>
      </x:c>
      <x:c r="O131" s="13" t="n">
        <x:v>30</x:v>
      </x:c>
      <x:c r="P131" s="13" t="n">
        <x:v>4</x:v>
      </x:c>
      <x:c r="Q131" s="11"/>
      <x:c r="R131" s="11" t="str">
        <x:v>Veteran model: 2025 form, prior-year trend and same team pass/run forecast; team pass volume #30, rush volume #4</x:v>
      </x:c>
    </x:row>
    <x:row r="132" ht="19" customHeight="1">
      <x:c r="A132" s="13" t="n">
        <x:v>128</x:v>
      </x:c>
      <x:c r="B132" s="12" t="n">
        <x:v>137.6</x:v>
      </x:c>
      <x:c r="C132" s="12" t="n">
        <x:f>B132-A132</x:f>
        <x:v>9.599999999999994</x:v>
      </x:c>
      <x:c r="D132" s="11" t="str">
        <x:v>Deebo Samuel</x:v>
      </x:c>
      <x:c r="E132" s="11" t="str">
        <x:v>WR</x:v>
      </x:c>
      <x:c r="F132" s="11" t="str">
        <x:v>SF</x:v>
      </x:c>
      <x:c r="G132" s="13" t="n">
        <x:v>8</x:v>
      </x:c>
      <x:c r="H132" s="12" t="n">
        <x:v>161.5</x:v>
      </x:c>
      <x:c r="I132" s="12" t="n">
        <x:v>156</x:v>
      </x:c>
      <x:c r="J132" s="12" t="n">
        <x:v>5.5</x:v>
      </x:c>
      <x:c r="K132" s="12" t="n">
        <x:v>159.5</x:v>
      </x:c>
      <x:c r="L132" s="12" t="n">
        <x:v>14.2</x:v>
      </x:c>
      <x:c r="M132" s="12" t="n">
        <x:v>-15.5</x:v>
      </x:c>
      <x:c r="N132" s="11" t="str">
        <x:v>High</x:v>
      </x:c>
      <x:c r="O132" s="13" t="n">
        <x:v>16</x:v>
      </x:c>
      <x:c r="P132" s="13" t="n">
        <x:v>9</x:v>
      </x:c>
      <x:c r="Q132" s="11"/>
      <x:c r="R132" s="11" t="str">
        <x:v>Veteran model: 2025 form, prior-year trend and new team pass/run forecast; team pass volume #16, rush volume #9</x:v>
      </x:c>
    </x:row>
    <x:row r="133" ht="19" customHeight="1">
      <x:c r="A133" s="13" t="n">
        <x:v>129</x:v>
      </x:c>
      <x:c r="B133" s="12" t="n">
        <x:v>216.3</x:v>
      </x:c>
      <x:c r="C133" s="12" t="n">
        <x:f>B133-A133</x:f>
        <x:v>87.30000000000001</x:v>
      </x:c>
      <x:c r="D133" s="11" t="str">
        <x:v>James Conner</x:v>
      </x:c>
      <x:c r="E133" s="11" t="str">
        <x:v>RB</x:v>
      </x:c>
      <x:c r="F133" s="11" t="str">
        <x:v>ARI</x:v>
      </x:c>
      <x:c r="G133" s="13" t="n">
        <x:v>14</x:v>
      </x:c>
      <x:c r="H133" s="12" t="n">
        <x:v>144.6</x:v>
      </x:c>
      <x:c r="I133" s="12" t="n">
        <x:v>57</x:v>
      </x:c>
      <x:c r="J133" s="12" t="n">
        <x:v>87.6</x:v>
      </x:c>
      <x:c r="K133" s="12" t="n">
        <x:v>78.9</x:v>
      </x:c>
      <x:c r="L133" s="12" t="n">
        <x:v>7.2</x:v>
      </x:c>
      <x:c r="M133" s="12" t="n">
        <x:v>-15.5</x:v>
      </x:c>
      <x:c r="N133" s="11" t="str">
        <x:v>Low</x:v>
      </x:c>
      <x:c r="O133" s="13" t="n">
        <x:v>3</x:v>
      </x:c>
      <x:c r="P133" s="13" t="n">
        <x:v>29</x:v>
      </x:c>
      <x:c r="Q133" s="11" t="str">
        <x:v>Ques</x:v>
      </x:c>
      <x:c r="R133" s="11" t="str">
        <x:v>Veteran model: 2025 form, prior-year trend and same team pass/run forecast; team pass volume #3, rush volume #29</x:v>
      </x:c>
    </x:row>
    <x:row r="134" ht="19" customHeight="1">
      <x:c r="A134" s="13" t="n">
        <x:v>130</x:v>
      </x:c>
      <x:c r="B134" s="12" t="n">
        <x:v>158.2</x:v>
      </x:c>
      <x:c r="C134" s="12" t="n">
        <x:f>B134-A134</x:f>
        <x:v>28.19999999999999</x:v>
      </x:c>
      <x:c r="D134" s="11" t="str">
        <x:v>Rashid Shaheed</x:v>
      </x:c>
      <x:c r="E134" s="11" t="str">
        <x:v>WR</x:v>
      </x:c>
      <x:c r="F134" s="11" t="str">
        <x:v>SEA</x:v>
      </x:c>
      <x:c r="G134" s="13" t="n">
        <x:v>11</x:v>
      </x:c>
      <x:c r="H134" s="12" t="n">
        <x:v>157</x:v>
      </x:c>
      <x:c r="I134" s="12" t="n">
        <x:v>138</x:v>
      </x:c>
      <x:c r="J134" s="12" t="n">
        <x:v>19</x:v>
      </x:c>
      <x:c r="K134" s="12" t="n">
        <x:v>150.3</x:v>
      </x:c>
      <x:c r="L134" s="12" t="n">
        <x:v>11.7</x:v>
      </x:c>
      <x:c r="M134" s="12" t="n">
        <x:v>-15.9</x:v>
      </x:c>
      <x:c r="N134" s="11" t="str">
        <x:v>High</x:v>
      </x:c>
      <x:c r="O134" s="13" t="n">
        <x:v>23</x:v>
      </x:c>
      <x:c r="P134" s="13" t="n">
        <x:v>21</x:v>
      </x:c>
      <x:c r="Q134" s="11"/>
      <x:c r="R134" s="11" t="str">
        <x:v>Veteran model: 2025 form, prior-year trend and same team pass/run forecast; team pass volume #23, rush volume #21</x:v>
      </x:c>
    </x:row>
    <x:row r="135" ht="19" customHeight="1">
      <x:c r="A135" s="13" t="n">
        <x:v>131</x:v>
      </x:c>
      <x:c r="B135" s="12" t="n">
        <x:v>76.1</x:v>
      </x:c>
      <x:c r="C135" s="12" t="n">
        <x:f>B135-A135</x:f>
        <x:v>-54.900000000000006</x:v>
      </x:c>
      <x:c r="D135" s="11" t="str">
        <x:v>Chuba Hubbard</x:v>
      </x:c>
      <x:c r="E135" s="11" t="str">
        <x:v>RB</x:v>
      </x:c>
      <x:c r="F135" s="11" t="str">
        <x:v>CAR</x:v>
      </x:c>
      <x:c r="G135" s="13" t="n">
        <x:v>5</x:v>
      </x:c>
      <x:c r="H135" s="12" t="n">
        <x:v>155.9</x:v>
      </x:c>
      <x:c r="I135" s="12" t="n">
        <x:v>148</x:v>
      </x:c>
      <x:c r="J135" s="12" t="n">
        <x:v>7.9</x:v>
      </x:c>
      <x:c r="K135" s="12" t="n">
        <x:v>153.1</x:v>
      </x:c>
      <x:c r="L135" s="12" t="n">
        <x:v>11.2</x:v>
      </x:c>
      <x:c r="M135" s="12" t="n">
        <x:v>-16.6</x:v>
      </x:c>
      <x:c r="N135" s="11" t="str">
        <x:v>High</x:v>
      </x:c>
      <x:c r="O135" s="13" t="n">
        <x:v>22</x:v>
      </x:c>
      <x:c r="P135" s="13" t="n">
        <x:v>23</x:v>
      </x:c>
      <x:c r="Q135" s="11" t="str">
        <x:v>Ques</x:v>
      </x:c>
      <x:c r="R135" s="11" t="str">
        <x:v>Veteran model: 2025 form, prior-year trend and same team pass/run forecast; team pass volume #22, rush volume #23</x:v>
      </x:c>
    </x:row>
    <x:row r="136" ht="19" customHeight="1">
      <x:c r="A136" s="13" t="n">
        <x:v>132</x:v>
      </x:c>
      <x:c r="B136" s="12" t="n">
        <x:v>241.8</x:v>
      </x:c>
      <x:c r="C136" s="12" t="n">
        <x:f>B136-A136</x:f>
        <x:v>109.80000000000001</x:v>
      </x:c>
      <x:c r="D136" s="11" t="str">
        <x:v>Ty Simpson</x:v>
      </x:c>
      <x:c r="E136" s="11" t="str">
        <x:v>QB</x:v>
      </x:c>
      <x:c r="F136" s="11" t="str">
        <x:v>LAR</x:v>
      </x:c>
      <x:c r="G136" s="13" t="n">
        <x:v>11</x:v>
      </x:c>
      <x:c r="H136" s="12" t="n">
        <x:v>235.2</x:v>
      </x:c>
      <x:c r="I136" s="12" t="n">
        <x:v>14</x:v>
      </x:c>
      <x:c r="J136" s="12" t="n">
        <x:v>221.2</x:v>
      </x:c>
      <x:c r="K136" s="12" t="n">
        <x:v>69.3</x:v>
      </x:c>
      <x:c r="L136" s="12" t="n">
        <x:v>6.2</x:v>
      </x:c>
      <x:c r="M136" s="12" t="n">
        <x:v>-17.1</x:v>
      </x:c>
      <x:c r="N136" s="11" t="str">
        <x:v>Low</x:v>
      </x:c>
      <x:c r="O136" s="13" t="n">
        <x:v>7</x:v>
      </x:c>
      <x:c r="P136" s="13" t="n">
        <x:v>14</x:v>
      </x:c>
      <x:c r="Q136" s="11"/>
      <x:c r="R136" s="11" t="str">
        <x:v>Rookie model: pick 13, age and destination-team environment; team pass volume #7, rush volume #14</x:v>
      </x:c>
    </x:row>
    <x:row r="137" ht="19" customHeight="1">
      <x:c r="A137" s="13" t="n">
        <x:v>133</x:v>
      </x:c>
      <x:c r="B137" s="12" t="n">
        <x:v>241.8</x:v>
      </x:c>
      <x:c r="C137" s="12" t="n">
        <x:f>B137-A137</x:f>
        <x:v>108.80000000000001</x:v>
      </x:c>
      <x:c r="D137" s="11" t="str">
        <x:v>Troy Franklin</x:v>
      </x:c>
      <x:c r="E137" s="11" t="str">
        <x:v>WR</x:v>
      </x:c>
      <x:c r="F137" s="11" t="str">
        <x:v>DEN</x:v>
      </x:c>
      <x:c r="G137" s="13" t="n">
        <x:v>10</x:v>
      </x:c>
      <x:c r="H137" s="12" t="n">
        <x:v>158.3</x:v>
      </x:c>
      <x:c r="I137" s="12" t="n">
        <x:v>66</x:v>
      </x:c>
      <x:c r="J137" s="12" t="n">
        <x:v>92.3</x:v>
      </x:c>
      <x:c r="K137" s="12" t="n">
        <x:v>126</x:v>
      </x:c>
      <x:c r="L137" s="12" t="n">
        <x:v>13.7</x:v>
      </x:c>
      <x:c r="M137" s="12" t="n">
        <x:v>-17.6</x:v>
      </x:c>
      <x:c r="N137" s="11" t="str">
        <x:v>High</x:v>
      </x:c>
      <x:c r="O137" s="13" t="n">
        <x:v>6</x:v>
      </x:c>
      <x:c r="P137" s="13" t="n">
        <x:v>19</x:v>
      </x:c>
      <x:c r="Q137" s="11"/>
      <x:c r="R137" s="11" t="str">
        <x:v>Veteran model: 2025 form, prior-year trend and same team pass/run forecast; team pass volume #6, rush volume #19</x:v>
      </x:c>
    </x:row>
    <x:row r="138" ht="19" customHeight="1">
      <x:c r="A138" s="13" t="n">
        <x:v>134</x:v>
      </x:c>
      <x:c r="B138" s="12" t="n">
        <x:v>164.9</x:v>
      </x:c>
      <x:c r="C138" s="12" t="n">
        <x:f>B138-A138</x:f>
        <x:v>30.900000000000006</x:v>
      </x:c>
      <x:c r="D138" s="11" t="str">
        <x:v>T.J. Hockenson</x:v>
      </x:c>
      <x:c r="E138" s="11" t="str">
        <x:v>TE</x:v>
      </x:c>
      <x:c r="F138" s="11" t="str">
        <x:v>MIN</x:v>
      </x:c>
      <x:c r="G138" s="13" t="n">
        <x:v>6</x:v>
      </x:c>
      <x:c r="H138" s="12" t="n">
        <x:v>135.2</x:v>
      </x:c>
      <x:c r="I138" s="12" t="n">
        <x:v>155</x:v>
      </x:c>
      <x:c r="J138" s="12" t="n">
        <x:v>-19.8</x:v>
      </x:c>
      <x:c r="K138" s="12" t="n">
        <x:v>142.2</x:v>
      </x:c>
      <x:c r="L138" s="12" t="n">
        <x:v>13</x:v>
      </x:c>
      <x:c r="M138" s="12" t="n">
        <x:v>-18.1</x:v>
      </x:c>
      <x:c r="N138" s="11" t="str">
        <x:v>High</x:v>
      </x:c>
      <x:c r="O138" s="13" t="n">
        <x:v>26</x:v>
      </x:c>
      <x:c r="P138" s="13" t="n">
        <x:v>27</x:v>
      </x:c>
      <x:c r="Q138" s="11"/>
      <x:c r="R138" s="11" t="str">
        <x:v>Veteran model: 2025 form, prior-year trend and same team pass/run forecast; team pass volume #26, rush volume #27</x:v>
      </x:c>
    </x:row>
    <x:row r="139" ht="19" customHeight="1">
      <x:c r="A139" s="13" t="n">
        <x:v>135</x:v>
      </x:c>
      <x:c r="B139" s="12" t="n">
        <x:v>111.4</x:v>
      </x:c>
      <x:c r="C139" s="12" t="n">
        <x:f>B139-A139</x:f>
        <x:v>-23.599999999999994</x:v>
      </x:c>
      <x:c r="D139" s="11" t="str">
        <x:v>Kenny Gainwell</x:v>
      </x:c>
      <x:c r="E139" s="11" t="str">
        <x:v>RB</x:v>
      </x:c>
      <x:c r="F139" s="11" t="str">
        <x:v>TB</x:v>
      </x:c>
      <x:c r="G139" s="13" t="n">
        <x:v>10</x:v>
      </x:c>
      <x:c r="H139" s="12" t="n">
        <x:v>158.2</x:v>
      </x:c>
      <x:c r="I139" s="12" t="n">
        <x:v>152</x:v>
      </x:c>
      <x:c r="J139" s="12" t="n">
        <x:v>6.2</x:v>
      </x:c>
      <x:c r="K139" s="12" t="n">
        <x:v>156</x:v>
      </x:c>
      <x:c r="L139" s="12" t="n">
        <x:v>13.5</x:v>
      </x:c>
      <x:c r="M139" s="12" t="n">
        <x:v>-18.2</x:v>
      </x:c>
      <x:c r="N139" s="11" t="str">
        <x:v>High</x:v>
      </x:c>
      <x:c r="O139" s="13" t="n">
        <x:v>12</x:v>
      </x:c>
      <x:c r="P139" s="13" t="n">
        <x:v>11</x:v>
      </x:c>
      <x:c r="Q139" s="11"/>
      <x:c r="R139" s="11" t="str">
        <x:v>Veteran model: 2025 form, prior-year trend and new team pass/run forecast; team pass volume #12, rush volume #11</x:v>
      </x:c>
    </x:row>
    <x:row r="140" ht="19" customHeight="1">
      <x:c r="A140" s="13" t="n">
        <x:v>136</x:v>
      </x:c>
      <x:c r="B140" s="12" t="n">
        <x:v>159.1</x:v>
      </x:c>
      <x:c r="C140" s="12" t="n">
        <x:f>B140-A140</x:f>
        <x:v>23.099999999999994</x:v>
      </x:c>
      <x:c r="D140" s="11" t="str">
        <x:v>Kyler Murray</x:v>
      </x:c>
      <x:c r="E140" s="11" t="str">
        <x:v>QB</x:v>
      </x:c>
      <x:c r="F140" s="11" t="str">
        <x:v>MIN</x:v>
      </x:c>
      <x:c r="G140" s="13" t="n">
        <x:v>6</x:v>
      </x:c>
      <x:c r="H140" s="12" t="n">
        <x:v>251.7</x:v>
      </x:c>
      <x:c r="I140" s="12" t="n">
        <x:v>275</x:v>
      </x:c>
      <x:c r="J140" s="12" t="n">
        <x:v>-23.3</x:v>
      </x:c>
      <x:c r="K140" s="12" t="n">
        <x:v>269.2</x:v>
      </x:c>
      <x:c r="L140" s="12" t="n">
        <x:v>10.3</x:v>
      </x:c>
      <x:c r="M140" s="12" t="n">
        <x:v>-18.5</x:v>
      </x:c>
      <x:c r="N140" s="11" t="str">
        <x:v>Low</x:v>
      </x:c>
      <x:c r="O140" s="13" t="n">
        <x:v>26</x:v>
      </x:c>
      <x:c r="P140" s="13" t="n">
        <x:v>27</x:v>
      </x:c>
      <x:c r="Q140" s="11"/>
      <x:c r="R140" s="11" t="str">
        <x:v>Veteran model: 2025 form, prior-year trend and new team pass/run forecast; team pass volume #26, rush volume #27</x:v>
      </x:c>
    </x:row>
    <x:row r="141" ht="19" customHeight="1">
      <x:c r="A141" s="13" t="n">
        <x:v>137</x:v>
      </x:c>
      <x:c r="B141" s="12" t="n">
        <x:v>125.1</x:v>
      </x:c>
      <x:c r="C141" s="12" t="n">
        <x:f>B141-A141</x:f>
        <x:v>-11.900000000000006</x:v>
      </x:c>
      <x:c r="D141" s="11" t="str">
        <x:v>KC Concepcion</x:v>
      </x:c>
      <x:c r="E141" s="11" t="str">
        <x:v>WR</x:v>
      </x:c>
      <x:c r="F141" s="11" t="str">
        <x:v>CLE</x:v>
      </x:c>
      <x:c r="G141" s="13" t="n">
        <x:v>11</x:v>
      </x:c>
      <x:c r="H141" s="12" t="n">
        <x:v>157.8</x:v>
      </x:c>
      <x:c r="I141" s="12" t="n">
        <x:v>156</x:v>
      </x:c>
      <x:c r="J141" s="12" t="n">
        <x:v>1.8</x:v>
      </x:c>
      <x:c r="K141" s="12" t="n">
        <x:v>156.4</x:v>
      </x:c>
      <x:c r="L141" s="12" t="n">
        <x:v>14.6</x:v>
      </x:c>
      <x:c r="M141" s="12" t="n">
        <x:v>-19.2</x:v>
      </x:c>
      <x:c r="N141" s="11" t="str">
        <x:v>Low</x:v>
      </x:c>
      <x:c r="O141" s="13" t="n">
        <x:v>4</x:v>
      </x:c>
      <x:c r="P141" s="13" t="n">
        <x:v>26</x:v>
      </x:c>
      <x:c r="Q141" s="11"/>
      <x:c r="R141" s="11" t="str">
        <x:v>Rookie model: pick 24, age and destination-team environment; team pass volume #4, rush volume #26</x:v>
      </x:c>
    </x:row>
    <x:row r="142" ht="19" customHeight="1">
      <x:c r="A142" s="13" t="n">
        <x:v>138</x:v>
      </x:c>
      <x:c r="B142" s="12" t="n">
        <x:v>146.6</x:v>
      </x:c>
      <x:c r="C142" s="12" t="n">
        <x:f>B142-A142</x:f>
        <x:v>8.599999999999994</x:v>
      </x:c>
      <x:c r="D142" s="11" t="str">
        <x:v>Jordan Love</x:v>
      </x:c>
      <x:c r="E142" s="11" t="str">
        <x:v>QB</x:v>
      </x:c>
      <x:c r="F142" s="11" t="str">
        <x:v>GB</x:v>
      </x:c>
      <x:c r="G142" s="13" t="n">
        <x:v>11</x:v>
      </x:c>
      <x:c r="H142" s="12" t="n">
        <x:v>257.4</x:v>
      </x:c>
      <x:c r="I142" s="12" t="n">
        <x:v>279</x:v>
      </x:c>
      <x:c r="J142" s="12" t="n">
        <x:v>-21.6</x:v>
      </x:c>
      <x:c r="K142" s="12" t="n">
        <x:v>265</x:v>
      </x:c>
      <x:c r="L142" s="12" t="n">
        <x:v>13.3</x:v>
      </x:c>
      <x:c r="M142" s="12" t="n">
        <x:v>-19.4</x:v>
      </x:c>
      <x:c r="N142" s="11" t="str">
        <x:v>High</x:v>
      </x:c>
      <x:c r="O142" s="13" t="n">
        <x:v>30</x:v>
      </x:c>
      <x:c r="P142" s="13" t="n">
        <x:v>4</x:v>
      </x:c>
      <x:c r="Q142" s="11"/>
      <x:c r="R142" s="11" t="str">
        <x:v>Veteran model: 2025 form, prior-year trend and same team pass/run forecast; team pass volume #30, rush volume #4</x:v>
      </x:c>
    </x:row>
    <x:row r="143" ht="19" customHeight="1">
      <x:c r="A143" s="13" t="n">
        <x:v>139</x:v>
      </x:c>
      <x:c r="B143" s="12" t="n">
        <x:v>237.4</x:v>
      </x:c>
      <x:c r="C143" s="12" t="n">
        <x:f>B143-A143</x:f>
        <x:v>98.4</x:v>
      </x:c>
      <x:c r="D143" s="11" t="str">
        <x:v>Audric Estime</x:v>
      </x:c>
      <x:c r="E143" s="11" t="str">
        <x:v>RB</x:v>
      </x:c>
      <x:c r="F143" s="11" t="str">
        <x:v>NO</x:v>
      </x:c>
      <x:c r="G143" s="13" t="n">
        <x:v>8</x:v>
      </x:c>
      <x:c r="H143" s="12" t="n">
        <x:v>147.5</x:v>
      </x:c>
      <x:c r="I143" s="12" t="n">
        <x:v>23</x:v>
      </x:c>
      <x:c r="J143" s="12" t="n">
        <x:v>124.5</x:v>
      </x:c>
      <x:c r="K143" s="12" t="n">
        <x:v>54.1</x:v>
      </x:c>
      <x:c r="L143" s="12" t="n">
        <x:v>9.8</x:v>
      </x:c>
      <x:c r="M143" s="12" t="n">
        <x:v>-19.4</x:v>
      </x:c>
      <x:c r="N143" s="11" t="str">
        <x:v>Low</x:v>
      </x:c>
      <x:c r="O143" s="13" t="n">
        <x:v>8</x:v>
      </x:c>
      <x:c r="P143" s="13" t="n">
        <x:v>22</x:v>
      </x:c>
      <x:c r="Q143" s="11" t="str">
        <x:v>Ques</x:v>
      </x:c>
      <x:c r="R143" s="11" t="str">
        <x:v>Veteran model: 2025 form, prior-year trend and same team pass/run forecast; team pass volume #8, rush volume #22</x:v>
      </x:c>
    </x:row>
    <x:row r="144" ht="19" customHeight="1">
      <x:c r="A144" s="13" t="n">
        <x:v>140</x:v>
      </x:c>
      <x:c r="B144" s="12" t="n">
        <x:v>123</x:v>
      </x:c>
      <x:c r="C144" s="12" t="n">
        <x:f>B144-A144</x:f>
        <x:v>-17</x:v>
      </x:c>
      <x:c r="D144" s="11" t="str">
        <x:v>Aaron Jones</x:v>
      </x:c>
      <x:c r="E144" s="11" t="str">
        <x:v>RB</x:v>
      </x:c>
      <x:c r="F144" s="11" t="str">
        <x:v>MIN</x:v>
      </x:c>
      <x:c r="G144" s="13" t="n">
        <x:v>6</x:v>
      </x:c>
      <x:c r="H144" s="12" t="n">
        <x:v>148</x:v>
      </x:c>
      <x:c r="I144" s="12" t="n">
        <x:v>137</x:v>
      </x:c>
      <x:c r="J144" s="12" t="n">
        <x:v>11</x:v>
      </x:c>
      <x:c r="K144" s="12" t="n">
        <x:v>144.2</x:v>
      </x:c>
      <x:c r="L144" s="12" t="n">
        <x:v>10</x:v>
      </x:c>
      <x:c r="M144" s="12" t="n">
        <x:v>-19.5</x:v>
      </x:c>
      <x:c r="N144" s="11" t="str">
        <x:v>High</x:v>
      </x:c>
      <x:c r="O144" s="13" t="n">
        <x:v>26</x:v>
      </x:c>
      <x:c r="P144" s="13" t="n">
        <x:v>27</x:v>
      </x:c>
      <x:c r="Q144" s="11"/>
      <x:c r="R144" s="11" t="str">
        <x:v>Veteran model: 2025 form, prior-year trend and same team pass/run forecast; team pass volume #26, rush volume #27</x:v>
      </x:c>
    </x:row>
    <x:row r="145" ht="19" customHeight="1">
      <x:c r="A145" s="13" t="n">
        <x:v>141</x:v>
      </x:c>
      <x:c r="B145" s="12" t="n">
        <x:v>167</x:v>
      </x:c>
      <x:c r="C145" s="12" t="n">
        <x:f>B145-A145</x:f>
        <x:v>26</x:v>
      </x:c>
      <x:c r="D145" s="11" t="str">
        <x:v>Tyjae Spears</x:v>
      </x:c>
      <x:c r="E145" s="11" t="str">
        <x:v>RB</x:v>
      </x:c>
      <x:c r="F145" s="11" t="str">
        <x:v>TEN</x:v>
      </x:c>
      <x:c r="G145" s="13" t="n">
        <x:v>9</x:v>
      </x:c>
      <x:c r="H145" s="12" t="n">
        <x:v>150.5</x:v>
      </x:c>
      <x:c r="I145" s="12" t="n">
        <x:v>115</x:v>
      </x:c>
      <x:c r="J145" s="12" t="n">
        <x:v>35.5</x:v>
      </x:c>
      <x:c r="K145" s="12" t="n">
        <x:v>138.1</x:v>
      </x:c>
      <x:c r="L145" s="12" t="n">
        <x:v>11.1</x:v>
      </x:c>
      <x:c r="M145" s="12" t="n">
        <x:v>-20</x:v>
      </x:c>
      <x:c r="N145" s="11" t="str">
        <x:v>High</x:v>
      </x:c>
      <x:c r="O145" s="13" t="n">
        <x:v>18</x:v>
      </x:c>
      <x:c r="P145" s="13" t="n">
        <x:v>30</x:v>
      </x:c>
      <x:c r="Q145" s="11"/>
      <x:c r="R145" s="11" t="str">
        <x:v>Veteran model: 2025 form, prior-year trend and same team pass/run forecast; team pass volume #18, rush volume #30</x:v>
      </x:c>
    </x:row>
    <x:row r="146" ht="19" customHeight="1">
      <x:c r="A146" s="13" t="n">
        <x:v>142</x:v>
      </x:c>
      <x:c r="B146" s="12" t="n">
        <x:v>194.1</x:v>
      </x:c>
      <x:c r="C146" s="12" t="n">
        <x:f>B146-A146</x:f>
        <x:v>52.099999999999994</x:v>
      </x:c>
      <x:c r="D146" s="11" t="str">
        <x:v>Jauan Jennings</x:v>
      </x:c>
      <x:c r="E146" s="11" t="str">
        <x:v>WR</x:v>
      </x:c>
      <x:c r="F146" s="11" t="str">
        <x:v>MIN</x:v>
      </x:c>
      <x:c r="G146" s="13" t="n">
        <x:v>6</x:v>
      </x:c>
      <x:c r="H146" s="12" t="n">
        <x:v>152.7</x:v>
      </x:c>
      <x:c r="I146" s="12" t="n">
        <x:v>106</x:v>
      </x:c>
      <x:c r="J146" s="12" t="n">
        <x:v>46.7</x:v>
      </x:c>
      <x:c r="K146" s="12" t="n">
        <x:v>136.4</x:v>
      </x:c>
      <x:c r="L146" s="12" t="n">
        <x:v>12.6</x:v>
      </x:c>
      <x:c r="M146" s="12" t="n">
        <x:v>-20.3</x:v>
      </x:c>
      <x:c r="N146" s="11" t="str">
        <x:v>High</x:v>
      </x:c>
      <x:c r="O146" s="13" t="n">
        <x:v>26</x:v>
      </x:c>
      <x:c r="P146" s="13" t="n">
        <x:v>27</x:v>
      </x:c>
      <x:c r="Q146" s="11"/>
      <x:c r="R146" s="11" t="str">
        <x:v>Veteran model: 2025 form, prior-year trend and new team pass/run forecast; team pass volume #26, rush volume #27</x:v>
      </x:c>
    </x:row>
    <x:row r="147" ht="19" customHeight="1">
      <x:c r="A147" s="13" t="n">
        <x:v>143</x:v>
      </x:c>
      <x:c r="B147" s="12" t="n">
        <x:v>96</x:v>
      </x:c>
      <x:c r="C147" s="12" t="n">
        <x:f>B147-A147</x:f>
        <x:v>-47</x:v>
      </x:c>
      <x:c r="D147" s="11" t="str">
        <x:v>Kyle Monangai</x:v>
      </x:c>
      <x:c r="E147" s="11" t="str">
        <x:v>RB</x:v>
      </x:c>
      <x:c r="F147" s="11" t="str">
        <x:v>CHI</x:v>
      </x:c>
      <x:c r="G147" s="13" t="n">
        <x:v>10</x:v>
      </x:c>
      <x:c r="H147" s="12" t="n">
        <x:v>153</x:v>
      </x:c>
      <x:c r="I147" s="12" t="n">
        <x:v>155</x:v>
      </x:c>
      <x:c r="J147" s="12" t="n">
        <x:v>-2</x:v>
      </x:c>
      <x:c r="K147" s="12" t="n">
        <x:v>154</x:v>
      </x:c>
      <x:c r="L147" s="12" t="n">
        <x:v>12.5</x:v>
      </x:c>
      <x:c r="M147" s="12" t="n">
        <x:v>-20.7</x:v>
      </x:c>
      <x:c r="N147" s="11" t="str">
        <x:v>Medium</x:v>
      </x:c>
      <x:c r="O147" s="13" t="n">
        <x:v>13</x:v>
      </x:c>
      <x:c r="P147" s="13" t="n">
        <x:v>6</x:v>
      </x:c>
      <x:c r="Q147" s="11" t="str">
        <x:v>Ques</x:v>
      </x:c>
      <x:c r="R147" s="11" t="str">
        <x:v>Veteran model: 2025 form, prior-year trend and same team pass/run forecast; team pass volume #13, rush volume #6</x:v>
      </x:c>
    </x:row>
    <x:row r="148" ht="19" customHeight="1">
      <x:c r="A148" s="13" t="n">
        <x:v>144</x:v>
      </x:c>
      <x:c r="B148" s="12" t="n">
        <x:v>129.5</x:v>
      </x:c>
      <x:c r="C148" s="12" t="n">
        <x:f>B148-A148</x:f>
        <x:v>-14.5</x:v>
      </x:c>
      <x:c r="D148" s="11" t="str">
        <x:v>Mark Andrews</x:v>
      </x:c>
      <x:c r="E148" s="11" t="str">
        <x:v>TE</x:v>
      </x:c>
      <x:c r="F148" s="11" t="str">
        <x:v>BAL</x:v>
      </x:c>
      <x:c r="G148" s="13" t="n">
        <x:v>13</x:v>
      </x:c>
      <x:c r="H148" s="12" t="n">
        <x:v>132.3</x:v>
      </x:c>
      <x:c r="I148" s="12" t="n">
        <x:v>163</x:v>
      </x:c>
      <x:c r="J148" s="12" t="n">
        <x:v>-30.7</x:v>
      </x:c>
      <x:c r="K148" s="12" t="n">
        <x:v>143</x:v>
      </x:c>
      <x:c r="L148" s="12" t="n">
        <x:v>13.3</x:v>
      </x:c>
      <x:c r="M148" s="12" t="n">
        <x:v>-20.8</x:v>
      </x:c>
      <x:c r="N148" s="11" t="str">
        <x:v>High</x:v>
      </x:c>
      <x:c r="O148" s="13" t="n">
        <x:v>32</x:v>
      </x:c>
      <x:c r="P148" s="13" t="n">
        <x:v>1</x:v>
      </x:c>
      <x:c r="Q148" s="11"/>
      <x:c r="R148" s="11" t="str">
        <x:v>Veteran model: 2025 form, prior-year trend and same team pass/run forecast; team pass volume #32, rush volume #1</x:v>
      </x:c>
    </x:row>
    <x:row r="149" ht="19" customHeight="1">
      <x:c r="A149" s="13" t="n">
        <x:v>145</x:v>
      </x:c>
      <x:c r="B149" s="12" t="n">
        <x:v>173.3</x:v>
      </x:c>
      <x:c r="C149" s="12" t="n">
        <x:f>B149-A149</x:f>
        <x:v>28.30000000000001</x:v>
      </x:c>
      <x:c r="D149" s="11" t="str">
        <x:v>Omar Cooper</x:v>
      </x:c>
      <x:c r="E149" s="11" t="str">
        <x:v>WR</x:v>
      </x:c>
      <x:c r="F149" s="11" t="str">
        <x:v>NYJ</x:v>
      </x:c>
      <x:c r="G149" s="13" t="n">
        <x:v>13</x:v>
      </x:c>
      <x:c r="H149" s="12" t="n">
        <x:v>152.4</x:v>
      </x:c>
      <x:c r="I149" s="12" t="n">
        <x:v>127</x:v>
      </x:c>
      <x:c r="J149" s="12" t="n">
        <x:v>25.4</x:v>
      </x:c>
      <x:c r="K149" s="12" t="n">
        <x:v>133.3</x:v>
      </x:c>
      <x:c r="L149" s="12" t="n">
        <x:v>13.6</x:v>
      </x:c>
      <x:c r="M149" s="12" t="n">
        <x:v>-22.2</x:v>
      </x:c>
      <x:c r="N149" s="11" t="str">
        <x:v>Low</x:v>
      </x:c>
      <x:c r="O149" s="13" t="n">
        <x:v>20</x:v>
      </x:c>
      <x:c r="P149" s="13" t="n">
        <x:v>28</x:v>
      </x:c>
      <x:c r="Q149" s="11"/>
      <x:c r="R149" s="11" t="str">
        <x:v>Rookie model: pick 30, age and destination-team environment; team pass volume #20, rush volume #28</x:v>
      </x:c>
    </x:row>
    <x:row r="150" ht="19" customHeight="1">
      <x:c r="A150" s="13" t="n">
        <x:v>146</x:v>
      </x:c>
      <x:c r="B150" s="12" t="n">
        <x:v>227.9</x:v>
      </x:c>
      <x:c r="C150" s="12" t="n">
        <x:f>B150-A150</x:f>
        <x:v>81.9</x:v>
      </x:c>
      <x:c r="D150" s="11" t="str">
        <x:v>Aaron Rodgers</x:v>
      </x:c>
      <x:c r="E150" s="11" t="str">
        <x:v>QB</x:v>
      </x:c>
      <x:c r="F150" s="11" t="str">
        <x:v>PIT</x:v>
      </x:c>
      <x:c r="G150" s="13" t="n">
        <x:v>9</x:v>
      </x:c>
      <x:c r="H150" s="12" t="n">
        <x:v>246.1</x:v>
      </x:c>
      <x:c r="I150" s="12" t="n">
        <x:v>177</x:v>
      </x:c>
      <x:c r="J150" s="12" t="n">
        <x:v>69.1</x:v>
      </x:c>
      <x:c r="K150" s="12" t="n">
        <x:v>221.9</x:v>
      </x:c>
      <x:c r="L150" s="12" t="n">
        <x:v>10.7</x:v>
      </x:c>
      <x:c r="M150" s="12" t="n">
        <x:v>-22.7</x:v>
      </x:c>
      <x:c r="N150" s="11" t="str">
        <x:v>High</x:v>
      </x:c>
      <x:c r="O150" s="13" t="n">
        <x:v>24</x:v>
      </x:c>
      <x:c r="P150" s="13" t="n">
        <x:v>18</x:v>
      </x:c>
      <x:c r="Q150" s="11"/>
      <x:c r="R150" s="11" t="str">
        <x:v>Veteran model: 2025 form, prior-year trend and same team pass/run forecast; team pass volume #24, rush volume #18</x:v>
      </x:c>
    </x:row>
    <x:row r="151" ht="19" customHeight="1">
      <x:c r="A151" s="13" t="n">
        <x:v>147</x:v>
      </x:c>
      <x:c r="B151" s="12" t="n">
        <x:v>50.1</x:v>
      </x:c>
      <x:c r="C151" s="12" t="n">
        <x:f>B151-A151</x:f>
        <x:v>-96.9</x:v>
      </x:c>
      <x:c r="D151" s="11" t="str">
        <x:v>Luther Burden</x:v>
      </x:c>
      <x:c r="E151" s="11" t="str">
        <x:v>WR</x:v>
      </x:c>
      <x:c r="F151" s="11" t="str">
        <x:v>CHI</x:v>
      </x:c>
      <x:c r="G151" s="13" t="n">
        <x:v>10</x:v>
      </x:c>
      <x:c r="H151" s="12" t="n">
        <x:v>150.3</x:v>
      </x:c>
      <x:c r="I151" s="12" t="n">
        <x:v>209</x:v>
      </x:c>
      <x:c r="J151" s="12" t="n">
        <x:v>-58.7</x:v>
      </x:c>
      <x:c r="K151" s="12" t="n">
        <x:v>179.6</x:v>
      </x:c>
      <x:c r="L151" s="12" t="n">
        <x:v>13.1</x:v>
      </x:c>
      <x:c r="M151" s="12" t="n">
        <x:v>-23</x:v>
      </x:c>
      <x:c r="N151" s="11" t="str">
        <x:v>Medium</x:v>
      </x:c>
      <x:c r="O151" s="13" t="n">
        <x:v>13</x:v>
      </x:c>
      <x:c r="P151" s="13" t="n">
        <x:v>6</x:v>
      </x:c>
      <x:c r="Q151" s="11" t="str">
        <x:v>Ques</x:v>
      </x:c>
      <x:c r="R151" s="11" t="str">
        <x:v>Veteran model: 2025 form, prior-year trend and same team pass/run forecast; team pass volume #13, rush volume #6</x:v>
      </x:c>
    </x:row>
    <x:row r="152" ht="19" customHeight="1">
      <x:c r="A152" s="13" t="n">
        <x:v>148</x:v>
      </x:c>
      <x:c r="B152" s="12" t="n">
        <x:v>225.1</x:v>
      </x:c>
      <x:c r="C152" s="12" t="n">
        <x:f>B152-A152</x:f>
        <x:v>77.1</x:v>
      </x:c>
      <x:c r="D152" s="11" t="str">
        <x:v>Cooper Kupp</x:v>
      </x:c>
      <x:c r="E152" s="11" t="str">
        <x:v>WR</x:v>
      </x:c>
      <x:c r="F152" s="11" t="str">
        <x:v>SEA</x:v>
      </x:c>
      <x:c r="G152" s="13" t="n">
        <x:v>11</x:v>
      </x:c>
      <x:c r="H152" s="12" t="n">
        <x:v>140.5</x:v>
      </x:c>
      <x:c r="I152" s="12" t="n">
        <x:v>86</x:v>
      </x:c>
      <x:c r="J152" s="12" t="n">
        <x:v>54.5</x:v>
      </x:c>
      <x:c r="K152" s="12" t="n">
        <x:v>121.4</x:v>
      </x:c>
      <x:c r="L152" s="12" t="n">
        <x:v>10</x:v>
      </x:c>
      <x:c r="M152" s="12" t="n">
        <x:v>-23.3</x:v>
      </x:c>
      <x:c r="N152" s="11" t="str">
        <x:v>High</x:v>
      </x:c>
      <x:c r="O152" s="13" t="n">
        <x:v>23</x:v>
      </x:c>
      <x:c r="P152" s="13" t="n">
        <x:v>21</x:v>
      </x:c>
      <x:c r="Q152" s="11"/>
      <x:c r="R152" s="11" t="str">
        <x:v>Veteran model: 2025 form, prior-year trend and same team pass/run forecast; team pass volume #23, rush volume #21</x:v>
      </x:c>
    </x:row>
    <x:row r="153" ht="19" customHeight="1">
      <x:c r="A153" s="13" t="n">
        <x:v>149</x:v>
      </x:c>
      <x:c r="B153" s="12" t="n">
        <x:v>148.7</x:v>
      </x:c>
      <x:c r="C153" s="12" t="n">
        <x:f>B153-A153</x:f>
        <x:v>-0.30000000000001137</x:v>
      </x:c>
      <x:c r="D153" s="11" t="str">
        <x:v>Jayden Higgins</x:v>
      </x:c>
      <x:c r="E153" s="11" t="str">
        <x:v>WR</x:v>
      </x:c>
      <x:c r="F153" s="11" t="str">
        <x:v>HOU</x:v>
      </x:c>
      <x:c r="G153" s="13" t="n">
        <x:v>8</x:v>
      </x:c>
      <x:c r="H153" s="12" t="n">
        <x:v>148.1</x:v>
      </x:c>
      <x:c r="I153" s="12" t="n">
        <x:v>0</x:v>
      </x:c>
      <x:c r="J153" s="12" t="n">
        <x:v>148.1</x:v>
      </x:c>
      <x:c r="K153" s="12" t="n">
        <x:v>74.1</x:v>
      </x:c>
      <x:c r="L153" s="12" t="n">
        <x:v>12.5</x:v>
      </x:c>
      <x:c r="M153" s="12" t="n">
        <x:v>-23.5</x:v>
      </x:c>
      <x:c r="N153" s="11" t="str">
        <x:v>Medium</x:v>
      </x:c>
      <x:c r="O153" s="13" t="n">
        <x:v>9</x:v>
      </x:c>
      <x:c r="P153" s="13" t="n">
        <x:v>17</x:v>
      </x:c>
      <x:c r="Q153" s="11" t="str">
        <x:v>IR</x:v>
      </x:c>
      <x:c r="R153" s="11" t="str">
        <x:v>Veteran model: 2025 form, prior-year trend and same team pass/run forecast; team pass volume #9, rush volume #17</x:v>
      </x:c>
    </x:row>
    <x:row r="154" ht="19" customHeight="1">
      <x:c r="A154" s="13" t="n">
        <x:v>150</x:v>
      </x:c>
      <x:c r="B154" s="12" t="n">
        <x:v>167.3</x:v>
      </x:c>
      <x:c r="C154" s="12" t="n">
        <x:f>B154-A154</x:f>
        <x:v>17.30000000000001</x:v>
      </x:c>
      <x:c r="D154" s="11" t="str">
        <x:v>Jonah Coleman</x:v>
      </x:c>
      <x:c r="E154" s="11" t="str">
        <x:v>RB</x:v>
      </x:c>
      <x:c r="F154" s="11" t="str">
        <x:v>DEN</x:v>
      </x:c>
      <x:c r="G154" s="13" t="n">
        <x:v>10</x:v>
      </x:c>
      <x:c r="H154" s="12" t="n">
        <x:v>140.6</x:v>
      </x:c>
      <x:c r="I154" s="12" t="n">
        <x:v>64</x:v>
      </x:c>
      <x:c r="J154" s="12" t="n">
        <x:v>76.6</x:v>
      </x:c>
      <x:c r="K154" s="12" t="n">
        <x:v>83.1</x:v>
      </x:c>
      <x:c r="L154" s="12" t="n">
        <x:v>10</x:v>
      </x:c>
      <x:c r="M154" s="12" t="n">
        <x:v>-23.8</x:v>
      </x:c>
      <x:c r="N154" s="11" t="str">
        <x:v>Low</x:v>
      </x:c>
      <x:c r="O154" s="13" t="n">
        <x:v>6</x:v>
      </x:c>
      <x:c r="P154" s="13" t="n">
        <x:v>19</x:v>
      </x:c>
      <x:c r="Q154" s="11"/>
      <x:c r="R154" s="11" t="str">
        <x:v>Rookie model: pick 108, age and destination-team environment; team pass volume #6, rush volume #19</x:v>
      </x:c>
    </x:row>
    <x:row r="155" ht="19" customHeight="1">
      <x:c r="A155" s="13" t="n">
        <x:v>151</x:v>
      </x:c>
      <x:c r="B155" s="12" t="n">
        <x:v>234.8</x:v>
      </x:c>
      <x:c r="C155" s="12" t="n">
        <x:f>B155-A155</x:f>
        <x:v>83.80000000000001</x:v>
      </x:c>
      <x:c r="D155" s="11" t="str">
        <x:v>Keon Coleman</x:v>
      </x:c>
      <x:c r="E155" s="11" t="str">
        <x:v>WR</x:v>
      </x:c>
      <x:c r="F155" s="11" t="str">
        <x:v>BUF</x:v>
      </x:c>
      <x:c r="G155" s="13" t="n">
        <x:v>7</x:v>
      </x:c>
      <x:c r="H155" s="12" t="n">
        <x:v>146.4</x:v>
      </x:c>
      <x:c r="I155" s="12" t="n">
        <x:v>86</x:v>
      </x:c>
      <x:c r="J155" s="12" t="n">
        <x:v>60.4</x:v>
      </x:c>
      <x:c r="K155" s="12" t="n">
        <x:v>125.3</x:v>
      </x:c>
      <x:c r="L155" s="12" t="n">
        <x:v>12</x:v>
      </x:c>
      <x:c r="M155" s="12" t="n">
        <x:v>-23.8</x:v>
      </x:c>
      <x:c r="N155" s="11" t="str">
        <x:v>High</x:v>
      </x:c>
      <x:c r="O155" s="13" t="n">
        <x:v>28</x:v>
      </x:c>
      <x:c r="P155" s="13" t="n">
        <x:v>3</x:v>
      </x:c>
      <x:c r="Q155" s="11" t="str">
        <x:v>Ques</x:v>
      </x:c>
      <x:c r="R155" s="11" t="str">
        <x:v>Veteran model: 2025 form, prior-year trend and same team pass/run forecast; team pass volume #28, rush volume #3</x:v>
      </x:c>
    </x:row>
    <x:row r="156" ht="19" customHeight="1">
      <x:c r="A156" s="13" t="n">
        <x:v>152</x:v>
      </x:c>
      <x:c r="B156" s="12" t="n">
        <x:v>195.8</x:v>
      </x:c>
      <x:c r="C156" s="12" t="n">
        <x:f>B156-A156</x:f>
        <x:v>43.80000000000001</x:v>
      </x:c>
      <x:c r="D156" s="11" t="str">
        <x:v>Jalen McMillan</x:v>
      </x:c>
      <x:c r="E156" s="11" t="str">
        <x:v>WR</x:v>
      </x:c>
      <x:c r="F156" s="11" t="str">
        <x:v>TB</x:v>
      </x:c>
      <x:c r="G156" s="13" t="n">
        <x:v>10</x:v>
      </x:c>
      <x:c r="H156" s="12" t="n">
        <x:v>134.5</x:v>
      </x:c>
      <x:c r="I156" s="12" t="n">
        <x:v>127</x:v>
      </x:c>
      <x:c r="J156" s="12" t="n">
        <x:v>7.5</x:v>
      </x:c>
      <x:c r="K156" s="12" t="n">
        <x:v>128.9</x:v>
      </x:c>
      <x:c r="L156" s="12" t="n">
        <x:v>9.1</x:v>
      </x:c>
      <x:c r="M156" s="12" t="n">
        <x:v>-24.4</x:v>
      </x:c>
      <x:c r="N156" s="11" t="str">
        <x:v>Low</x:v>
      </x:c>
      <x:c r="O156" s="13" t="n">
        <x:v>12</x:v>
      </x:c>
      <x:c r="P156" s="13" t="n">
        <x:v>11</x:v>
      </x:c>
      <x:c r="Q156" s="11" t="str">
        <x:v>Ques</x:v>
      </x:c>
      <x:c r="R156" s="11" t="str">
        <x:v>Veteran model: 2025 form, prior-year trend and same team pass/run forecast; team pass volume #12, rush volume #11</x:v>
      </x:c>
    </x:row>
    <x:row r="157" ht="19" customHeight="1">
      <x:c r="A157" s="13" t="n">
        <x:v>153</x:v>
      </x:c>
      <x:c r="B157" s="12" t="n">
        <x:v>239.9</x:v>
      </x:c>
      <x:c r="C157" s="12" t="n">
        <x:f>B157-A157</x:f>
        <x:v>86.9</x:v>
      </x:c>
      <x:c r="D157" s="11" t="str">
        <x:v>Pat Freiermuth</x:v>
      </x:c>
      <x:c r="E157" s="11" t="str">
        <x:v>TE</x:v>
      </x:c>
      <x:c r="F157" s="11" t="str">
        <x:v>PIT</x:v>
      </x:c>
      <x:c r="G157" s="13" t="n">
        <x:v>9</x:v>
      </x:c>
      <x:c r="H157" s="12" t="n">
        <x:v>126.8</x:v>
      </x:c>
      <x:c r="I157" s="12" t="n">
        <x:v>128</x:v>
      </x:c>
      <x:c r="J157" s="12" t="n">
        <x:v>-1.2</x:v>
      </x:c>
      <x:c r="K157" s="12" t="n">
        <x:v>127.2</x:v>
      </x:c>
      <x:c r="L157" s="12" t="n">
        <x:v>12.9</x:v>
      </x:c>
      <x:c r="M157" s="12" t="n">
        <x:v>-24.4</x:v>
      </x:c>
      <x:c r="N157" s="11" t="str">
        <x:v>High</x:v>
      </x:c>
      <x:c r="O157" s="13" t="n">
        <x:v>24</x:v>
      </x:c>
      <x:c r="P157" s="13" t="n">
        <x:v>18</x:v>
      </x:c>
      <x:c r="Q157" s="11"/>
      <x:c r="R157" s="11" t="str">
        <x:v>Veteran model: 2025 form, prior-year trend and same team pass/run forecast; team pass volume #24, rush volume #18</x:v>
      </x:c>
    </x:row>
    <x:row r="158" ht="19" customHeight="1">
      <x:c r="A158" s="13" t="n">
        <x:v>154</x:v>
      </x:c>
      <x:c r="B158" s="12" t="n">
        <x:v>155.2</x:v>
      </x:c>
      <x:c r="C158" s="12" t="n">
        <x:f>B158-A158</x:f>
        <x:v>1.1999999999999886</x:v>
      </x:c>
      <x:c r="D158" s="11" t="str">
        <x:v>De'Zhaun Stribling</x:v>
      </x:c>
      <x:c r="E158" s="11" t="str">
        <x:v>WR</x:v>
      </x:c>
      <x:c r="F158" s="11" t="str">
        <x:v>SF</x:v>
      </x:c>
      <x:c r="G158" s="13" t="n">
        <x:v>8</x:v>
      </x:c>
      <x:c r="H158" s="12" t="n">
        <x:v>138.7</x:v>
      </x:c>
      <x:c r="I158" s="12" t="n">
        <x:v>128</x:v>
      </x:c>
      <x:c r="J158" s="12" t="n">
        <x:v>10.7</x:v>
      </x:c>
      <x:c r="K158" s="12" t="n">
        <x:v>130.7</x:v>
      </x:c>
      <x:c r="L158" s="12" t="n">
        <x:v>10.1</x:v>
      </x:c>
      <x:c r="M158" s="12" t="n">
        <x:v>-24.6</x:v>
      </x:c>
      <x:c r="N158" s="11" t="str">
        <x:v>Low</x:v>
      </x:c>
      <x:c r="O158" s="13" t="n">
        <x:v>16</x:v>
      </x:c>
      <x:c r="P158" s="13" t="n">
        <x:v>9</x:v>
      </x:c>
      <x:c r="Q158" s="11"/>
      <x:c r="R158" s="11" t="str">
        <x:v>Rookie model: pick 33, age and destination-team environment; team pass volume #16, rush volume #9</x:v>
      </x:c>
    </x:row>
    <x:row r="159" ht="19" customHeight="1">
      <x:c r="A159" s="13" t="n">
        <x:v>155</x:v>
      </x:c>
      <x:c r="B159" s="12" t="n">
        <x:v>219.1</x:v>
      </x:c>
      <x:c r="C159" s="12" t="n">
        <x:f>B159-A159</x:f>
        <x:v>64.1</x:v>
      </x:c>
      <x:c r="D159" s="11" t="str">
        <x:v>Keenan Allen</x:v>
      </x:c>
      <x:c r="E159" s="11" t="str">
        <x:v>WR</x:v>
      </x:c>
      <x:c r="F159" s="11" t="str">
        <x:v>IND</x:v>
      </x:c>
      <x:c r="G159" s="13" t="n">
        <x:v>13</x:v>
      </x:c>
      <x:c r="H159" s="12" t="n">
        <x:v>144.2</x:v>
      </x:c>
      <x:c r="I159" s="12" t="n">
        <x:v>107</x:v>
      </x:c>
      <x:c r="J159" s="12" t="n">
        <x:v>37.2</x:v>
      </x:c>
      <x:c r="K159" s="12" t="n">
        <x:v>131.2</x:v>
      </x:c>
      <x:c r="L159" s="12" t="n">
        <x:v>11.9</x:v>
      </x:c>
      <x:c r="M159" s="12" t="n">
        <x:v>-25.1</x:v>
      </x:c>
      <x:c r="N159" s="11" t="str">
        <x:v>High</x:v>
      </x:c>
      <x:c r="O159" s="13" t="n">
        <x:v>21</x:v>
      </x:c>
      <x:c r="P159" s="13" t="n">
        <x:v>13</x:v>
      </x:c>
      <x:c r="Q159" s="11"/>
      <x:c r="R159" s="11" t="str">
        <x:v>Veteran model: 2025 form, prior-year trend and new team pass/run forecast; team pass volume #21, rush volume #13</x:v>
      </x:c>
    </x:row>
    <x:row r="160" ht="19" customHeight="1">
      <x:c r="A160" s="13" t="n">
        <x:v>156</x:v>
      </x:c>
      <x:c r="B160" s="12" t="n">
        <x:v>163.2</x:v>
      </x:c>
      <x:c r="C160" s="12" t="n">
        <x:f>B160-A160</x:f>
        <x:v>7.199999999999989</x:v>
      </x:c>
      <x:c r="D160" s="11" t="str">
        <x:v>Denzel Boston</x:v>
      </x:c>
      <x:c r="E160" s="11" t="str">
        <x:v>WR</x:v>
      </x:c>
      <x:c r="F160" s="11" t="str">
        <x:v>CLE</x:v>
      </x:c>
      <x:c r="G160" s="13" t="n">
        <x:v>11</x:v>
      </x:c>
      <x:c r="H160" s="12" t="n">
        <x:v>146.6</x:v>
      </x:c>
      <x:c r="I160" s="12" t="n">
        <x:v>135</x:v>
      </x:c>
      <x:c r="J160" s="12" t="n">
        <x:v>11.6</x:v>
      </x:c>
      <x:c r="K160" s="12" t="n">
        <x:v>137.9</x:v>
      </x:c>
      <x:c r="L160" s="12" t="n">
        <x:v>12.8</x:v>
      </x:c>
      <x:c r="M160" s="12" t="n">
        <x:v>-25.2</x:v>
      </x:c>
      <x:c r="N160" s="11" t="str">
        <x:v>Low</x:v>
      </x:c>
      <x:c r="O160" s="13" t="n">
        <x:v>4</x:v>
      </x:c>
      <x:c r="P160" s="13" t="n">
        <x:v>26</x:v>
      </x:c>
      <x:c r="Q160" s="11"/>
      <x:c r="R160" s="11" t="str">
        <x:v>Rookie model: pick 39, age and destination-team environment; team pass volume #4, rush volume #26</x:v>
      </x:c>
    </x:row>
    <x:row r="161" ht="19" customHeight="1">
      <x:c r="A161" s="13" t="n">
        <x:v>157</x:v>
      </x:c>
      <x:c r="B161" s="12" t="n">
        <x:v>237.9</x:v>
      </x:c>
      <x:c r="C161" s="12" t="n">
        <x:f>B161-A161</x:f>
        <x:v>80.9</x:v>
      </x:c>
      <x:c r="D161" s="11" t="str">
        <x:v>Kayshon Boutte</x:v>
      </x:c>
      <x:c r="E161" s="11" t="str">
        <x:v>WR</x:v>
      </x:c>
      <x:c r="F161" s="11" t="str">
        <x:v>NE</x:v>
      </x:c>
      <x:c r="G161" s="13" t="n">
        <x:v>11</x:v>
      </x:c>
      <x:c r="H161" s="12" t="n">
        <x:v>145</x:v>
      </x:c>
      <x:c r="I161" s="12" t="n">
        <x:v>95</x:v>
      </x:c>
      <x:c r="J161" s="12" t="n">
        <x:v>50</x:v>
      </x:c>
      <x:c r="K161" s="12" t="n">
        <x:v>127.5</x:v>
      </x:c>
      <x:c r="L161" s="12" t="n">
        <x:v>12.2</x:v>
      </x:c>
      <x:c r="M161" s="12" t="n">
        <x:v>-25.2</x:v>
      </x:c>
      <x:c r="N161" s="11" t="str">
        <x:v>High</x:v>
      </x:c>
      <x:c r="O161" s="13" t="n">
        <x:v>27</x:v>
      </x:c>
      <x:c r="P161" s="13" t="n">
        <x:v>12</x:v>
      </x:c>
      <x:c r="Q161" s="11"/>
      <x:c r="R161" s="11" t="str">
        <x:v>Veteran model: 2025 form, prior-year trend and same team pass/run forecast; team pass volume #27, rush volume #12</x:v>
      </x:c>
    </x:row>
    <x:row r="162" ht="19" customHeight="1">
      <x:c r="A162" s="13" t="n">
        <x:v>158</x:v>
      </x:c>
      <x:c r="B162" s="12" t="n">
        <x:v>86</x:v>
      </x:c>
      <x:c r="C162" s="12" t="n">
        <x:f>B162-A162</x:f>
        <x:v>-72</x:v>
      </x:c>
      <x:c r="D162" s="11" t="str">
        <x:v>Makai Lemon</x:v>
      </x:c>
      <x:c r="E162" s="11" t="str">
        <x:v>WR</x:v>
      </x:c>
      <x:c r="F162" s="11" t="str">
        <x:v>PHI</x:v>
      </x:c>
      <x:c r="G162" s="13" t="n">
        <x:v>10</x:v>
      </x:c>
      <x:c r="H162" s="12" t="n">
        <x:v>145.4</x:v>
      </x:c>
      <x:c r="I162" s="12" t="n">
        <x:v>169</x:v>
      </x:c>
      <x:c r="J162" s="12" t="n">
        <x:v>-23.6</x:v>
      </x:c>
      <x:c r="K162" s="12" t="n">
        <x:v>163.1</x:v>
      </x:c>
      <x:c r="L162" s="12" t="n">
        <x:v>12.5</x:v>
      </x:c>
      <x:c r="M162" s="12" t="n">
        <x:v>-25.5</x:v>
      </x:c>
      <x:c r="N162" s="11" t="str">
        <x:v>Low</x:v>
      </x:c>
      <x:c r="O162" s="13" t="n">
        <x:v>31</x:v>
      </x:c>
      <x:c r="P162" s="13" t="n">
        <x:v>2</x:v>
      </x:c>
      <x:c r="Q162" s="11" t="str">
        <x:v>Ques</x:v>
      </x:c>
      <x:c r="R162" s="11" t="str">
        <x:v>Rookie model: pick 20, age and destination-team environment; team pass volume #31, rush volume #2</x:v>
      </x:c>
    </x:row>
    <x:row r="163" ht="19" customHeight="1">
      <x:c r="A163" s="13" t="n">
        <x:v>159</x:v>
      </x:c>
      <x:c r="B163" s="12" t="n">
        <x:v>229.7</x:v>
      </x:c>
      <x:c r="C163" s="12" t="n">
        <x:f>B163-A163</x:f>
        <x:v>70.69999999999999</x:v>
      </x:c>
      <x:c r="D163" s="11" t="str">
        <x:v>Bryce Young</x:v>
      </x:c>
      <x:c r="E163" s="11" t="str">
        <x:v>QB</x:v>
      </x:c>
      <x:c r="F163" s="11" t="str">
        <x:v>CAR</x:v>
      </x:c>
      <x:c r="G163" s="13" t="n">
        <x:v>5</x:v>
      </x:c>
      <x:c r="H163" s="12" t="n">
        <x:v>246.9</x:v>
      </x:c>
      <x:c r="I163" s="12" t="n">
        <x:v>236</x:v>
      </x:c>
      <x:c r="J163" s="12" t="n">
        <x:v>10.9</x:v>
      </x:c>
      <x:c r="K163" s="12" t="n">
        <x:v>243.1</x:v>
      </x:c>
      <x:c r="L163" s="12" t="n">
        <x:v>12.3</x:v>
      </x:c>
      <x:c r="M163" s="12" t="n">
        <x:v>-25.5</x:v>
      </x:c>
      <x:c r="N163" s="11" t="str">
        <x:v>High</x:v>
      </x:c>
      <x:c r="O163" s="13" t="n">
        <x:v>22</x:v>
      </x:c>
      <x:c r="P163" s="13" t="n">
        <x:v>23</x:v>
      </x:c>
      <x:c r="Q163" s="11"/>
      <x:c r="R163" s="11" t="str">
        <x:v>Veteran model: 2025 form, prior-year trend and same team pass/run forecast; team pass volume #22, rush volume #23</x:v>
      </x:c>
    </x:row>
    <x:row r="164" ht="19" customHeight="1">
      <x:c r="A164" s="13" t="n">
        <x:v>160</x:v>
      </x:c>
      <x:c r="B164" s="12" t="n">
        <x:v>241.3</x:v>
      </x:c>
      <x:c r="C164" s="12" t="n">
        <x:f>B164-A164</x:f>
        <x:v>81.30000000000001</x:v>
      </x:c>
      <x:c r="D164" s="11" t="str">
        <x:v>Kimani Vidal</x:v>
      </x:c>
      <x:c r="E164" s="11" t="str">
        <x:v>RB</x:v>
      </x:c>
      <x:c r="F164" s="11" t="str">
        <x:v>LAC</x:v>
      </x:c>
      <x:c r="G164" s="13" t="n">
        <x:v>7</x:v>
      </x:c>
      <x:c r="H164" s="12" t="n">
        <x:v>140.2</x:v>
      </x:c>
      <x:c r="I164" s="12" t="n">
        <x:v>60</x:v>
      </x:c>
      <x:c r="J164" s="12" t="n">
        <x:v>80.2</x:v>
      </x:c>
      <x:c r="K164" s="12" t="n">
        <x:v>112.1</x:v>
      </x:c>
      <x:c r="L164" s="12" t="n">
        <x:v>11.1</x:v>
      </x:c>
      <x:c r="M164" s="12" t="n">
        <x:v>-26.7</x:v>
      </x:c>
      <x:c r="N164" s="11" t="str">
        <x:v>High</x:v>
      </x:c>
      <x:c r="O164" s="13" t="n">
        <x:v>14</x:v>
      </x:c>
      <x:c r="P164" s="13" t="n">
        <x:v>16</x:v>
      </x:c>
      <x:c r="Q164" s="11"/>
      <x:c r="R164" s="11" t="str">
        <x:v>Veteran model: 2025 form, prior-year trend and same team pass/run forecast; team pass volume #14, rush volume #16</x:v>
      </x:c>
    </x:row>
    <x:row r="165" ht="19" customHeight="1">
      <x:c r="A165" s="13" t="n">
        <x:v>161</x:v>
      </x:c>
      <x:c r="B165" s="12" t="n">
        <x:v>111.9</x:v>
      </x:c>
      <x:c r="C165" s="12" t="n">
        <x:f>B165-A165</x:f>
        <x:v>-49.099999999999994</x:v>
      </x:c>
      <x:c r="D165" s="11" t="str">
        <x:v>Jacory Croskey-Merritt</x:v>
      </x:c>
      <x:c r="E165" s="11" t="str">
        <x:v>RB</x:v>
      </x:c>
      <x:c r="F165" s="11" t="str">
        <x:v>WAS</x:v>
      </x:c>
      <x:c r="G165" s="13" t="n">
        <x:v>7</x:v>
      </x:c>
      <x:c r="H165" s="12" t="n">
        <x:v>142.5</x:v>
      </x:c>
      <x:c r="I165" s="12" t="n">
        <x:v>128</x:v>
      </x:c>
      <x:c r="J165" s="12" t="n">
        <x:v>14.5</x:v>
      </x:c>
      <x:c r="K165" s="12" t="n">
        <x:v>135.2</x:v>
      </x:c>
      <x:c r="L165" s="12" t="n">
        <x:v>12.2</x:v>
      </x:c>
      <x:c r="M165" s="12" t="n">
        <x:v>-27.7</x:v>
      </x:c>
      <x:c r="N165" s="11" t="str">
        <x:v>Medium</x:v>
      </x:c>
      <x:c r="O165" s="13" t="n">
        <x:v>29</x:v>
      </x:c>
      <x:c r="P165" s="13" t="n">
        <x:v>8</x:v>
      </x:c>
      <x:c r="Q165" s="11"/>
      <x:c r="R165" s="11" t="str">
        <x:v>Veteran model: 2025 form, prior-year trend and same team pass/run forecast; team pass volume #29, rush volume #8</x:v>
      </x:c>
    </x:row>
    <x:row r="166" ht="19" customHeight="1">
      <x:c r="A166" s="13" t="n">
        <x:v>162</x:v>
      </x:c>
      <x:c r="B166" s="12" t="n">
        <x:v>241.5</x:v>
      </x:c>
      <x:c r="C166" s="12" t="n">
        <x:f>B166-A166</x:f>
        <x:v>79.5</x:v>
      </x:c>
      <x:c r="D166" s="11" t="str">
        <x:v>Elic Ayomanor</x:v>
      </x:c>
      <x:c r="E166" s="11" t="str">
        <x:v>WR</x:v>
      </x:c>
      <x:c r="F166" s="11" t="str">
        <x:v>TEN</x:v>
      </x:c>
      <x:c r="G166" s="13" t="n">
        <x:v>9</x:v>
      </x:c>
      <x:c r="H166" s="12" t="n">
        <x:v>140.4</x:v>
      </x:c>
      <x:c r="I166" s="12" t="n">
        <x:v>57</x:v>
      </x:c>
      <x:c r="J166" s="12" t="n">
        <x:v>83.4</x:v>
      </x:c>
      <x:c r="K166" s="12" t="n">
        <x:v>98.7</x:v>
      </x:c>
      <x:c r="L166" s="12" t="n">
        <x:v>12</x:v>
      </x:c>
      <x:c r="M166" s="12" t="n">
        <x:v>-28</x:v>
      </x:c>
      <x:c r="N166" s="11" t="str">
        <x:v>Medium</x:v>
      </x:c>
      <x:c r="O166" s="13" t="n">
        <x:v>18</x:v>
      </x:c>
      <x:c r="P166" s="13" t="n">
        <x:v>30</x:v>
      </x:c>
      <x:c r="Q166" s="11"/>
      <x:c r="R166" s="11" t="str">
        <x:v>Veteran model: 2025 form, prior-year trend and same team pass/run forecast; team pass volume #18, rush volume #30</x:v>
      </x:c>
    </x:row>
    <x:row r="167" ht="19" customHeight="1">
      <x:c r="A167" s="13" t="n">
        <x:v>163</x:v>
      </x:c>
      <x:c r="B167" s="12" t="n">
        <x:v>185.4</x:v>
      </x:c>
      <x:c r="C167" s="12" t="n">
        <x:f>B167-A167</x:f>
        <x:v>22.400000000000006</x:v>
      </x:c>
      <x:c r="D167" s="11" t="str">
        <x:v>AJ Barner</x:v>
      </x:c>
      <x:c r="E167" s="11" t="str">
        <x:v>TE</x:v>
      </x:c>
      <x:c r="F167" s="11" t="str">
        <x:v>SEA</x:v>
      </x:c>
      <x:c r="G167" s="13" t="n">
        <x:v>11</x:v>
      </x:c>
      <x:c r="H167" s="12" t="n">
        <x:v>122.3</x:v>
      </x:c>
      <x:c r="I167" s="12" t="n">
        <x:v>142</x:v>
      </x:c>
      <x:c r="J167" s="12" t="n">
        <x:v>-19.7</x:v>
      </x:c>
      <x:c r="K167" s="12" t="n">
        <x:v>129.2</x:v>
      </x:c>
      <x:c r="L167" s="12" t="n">
        <x:v>13.2</x:v>
      </x:c>
      <x:c r="M167" s="12" t="n">
        <x:v>-28.4</x:v>
      </x:c>
      <x:c r="N167" s="11" t="str">
        <x:v>High</x:v>
      </x:c>
      <x:c r="O167" s="13" t="n">
        <x:v>23</x:v>
      </x:c>
      <x:c r="P167" s="13" t="n">
        <x:v>21</x:v>
      </x:c>
      <x:c r="Q167" s="11"/>
      <x:c r="R167" s="11" t="str">
        <x:v>Veteran model: 2025 form, prior-year trend and same team pass/run forecast; team pass volume #23, rush volume #21</x:v>
      </x:c>
    </x:row>
    <x:row r="168" ht="19" customHeight="1">
      <x:c r="A168" s="13" t="n">
        <x:v>164</x:v>
      </x:c>
      <x:c r="B168" s="12" t="n">
        <x:v>230.8</x:v>
      </x:c>
      <x:c r="C168" s="12" t="n">
        <x:f>B168-A168</x:f>
        <x:v>66.80000000000001</x:v>
      </x:c>
      <x:c r="D168" s="11" t="str">
        <x:v>Germie Bernard</x:v>
      </x:c>
      <x:c r="E168" s="11" t="str">
        <x:v>WR</x:v>
      </x:c>
      <x:c r="F168" s="11" t="str">
        <x:v>PIT</x:v>
      </x:c>
      <x:c r="G168" s="13" t="n">
        <x:v>9</x:v>
      </x:c>
      <x:c r="H168" s="12" t="n">
        <x:v>135.2</x:v>
      </x:c>
      <x:c r="I168" s="12" t="n">
        <x:v>99</x:v>
      </x:c>
      <x:c r="J168" s="12" t="n">
        <x:v>36.2</x:v>
      </x:c>
      <x:c r="K168" s="12" t="n">
        <x:v>108.1</x:v>
      </x:c>
      <x:c r="L168" s="12" t="n">
        <x:v>10.8</x:v>
      </x:c>
      <x:c r="M168" s="12" t="n">
        <x:v>-28.5</x:v>
      </x:c>
      <x:c r="N168" s="11" t="str">
        <x:v>Low</x:v>
      </x:c>
      <x:c r="O168" s="13" t="n">
        <x:v>24</x:v>
      </x:c>
      <x:c r="P168" s="13" t="n">
        <x:v>18</x:v>
      </x:c>
      <x:c r="Q168" s="11"/>
      <x:c r="R168" s="11" t="str">
        <x:v>Rookie model: pick 47, age and destination-team environment; team pass volume #24, rush volume #18</x:v>
      </x:c>
    </x:row>
    <x:row r="169" ht="19" customHeight="1">
      <x:c r="A169" s="13" t="n">
        <x:v>165</x:v>
      </x:c>
      <x:c r="B169" s="12" t="n">
        <x:v>207.5</x:v>
      </x:c>
      <x:c r="C169" s="12" t="n">
        <x:f>B169-A169</x:f>
        <x:v>42.5</x:v>
      </x:c>
      <x:c r="D169" s="11" t="str">
        <x:v>David Njoku</x:v>
      </x:c>
      <x:c r="E169" s="11" t="str">
        <x:v>TE</x:v>
      </x:c>
      <x:c r="F169" s="11" t="str">
        <x:v>LAC</x:v>
      </x:c>
      <x:c r="G169" s="13" t="n">
        <x:v>7</x:v>
      </x:c>
      <x:c r="H169" s="12" t="n">
        <x:v>115.2</x:v>
      </x:c>
      <x:c r="I169" s="12" t="n">
        <x:v>58</x:v>
      </x:c>
      <x:c r="J169" s="12" t="n">
        <x:v>57.2</x:v>
      </x:c>
      <x:c r="K169" s="12" t="n">
        <x:v>86.6</x:v>
      </x:c>
      <x:c r="L169" s="12" t="n">
        <x:v>11.3</x:v>
      </x:c>
      <x:c r="M169" s="12" t="n">
        <x:v>-29</x:v>
      </x:c>
      <x:c r="N169" s="11" t="str">
        <x:v>Medium</x:v>
      </x:c>
      <x:c r="O169" s="13" t="n">
        <x:v>14</x:v>
      </x:c>
      <x:c r="P169" s="13" t="n">
        <x:v>16</x:v>
      </x:c>
      <x:c r="Q169" s="11"/>
      <x:c r="R169" s="11" t="str">
        <x:v>Veteran model: 2025 form, prior-year trend and new team pass/run forecast; team pass volume #14, rush volume #16</x:v>
      </x:c>
    </x:row>
    <x:row r="170" ht="19" customHeight="1">
      <x:c r="A170" s="13" t="n">
        <x:v>166</x:v>
      </x:c>
      <x:c r="B170" s="12" t="n">
        <x:v>128.2</x:v>
      </x:c>
      <x:c r="C170" s="12" t="n">
        <x:f>B170-A170</x:f>
        <x:v>-37.80000000000001</x:v>
      </x:c>
      <x:c r="D170" s="11" t="str">
        <x:v>Rachaad White</x:v>
      </x:c>
      <x:c r="E170" s="11" t="str">
        <x:v>RB</x:v>
      </x:c>
      <x:c r="F170" s="11" t="str">
        <x:v>WAS</x:v>
      </x:c>
      <x:c r="G170" s="13" t="n">
        <x:v>7</x:v>
      </x:c>
      <x:c r="H170" s="12" t="n">
        <x:v>143.6</x:v>
      </x:c>
      <x:c r="I170" s="12" t="n">
        <x:v>128</x:v>
      </x:c>
      <x:c r="J170" s="12" t="n">
        <x:v>15.6</x:v>
      </x:c>
      <x:c r="K170" s="12" t="n">
        <x:v>138.1</x:v>
      </x:c>
      <x:c r="L170" s="12" t="n">
        <x:v>13.2</x:v>
      </x:c>
      <x:c r="M170" s="12" t="n">
        <x:v>-29.1</x:v>
      </x:c>
      <x:c r="N170" s="11" t="str">
        <x:v>High</x:v>
      </x:c>
      <x:c r="O170" s="13" t="n">
        <x:v>29</x:v>
      </x:c>
      <x:c r="P170" s="13" t="n">
        <x:v>8</x:v>
      </x:c>
      <x:c r="Q170" s="11" t="str">
        <x:v>Ques</x:v>
      </x:c>
      <x:c r="R170" s="11" t="str">
        <x:v>Veteran model: 2025 form, prior-year trend and new team pass/run forecast; team pass volume #29, rush volume #8</x:v>
      </x:c>
    </x:row>
    <x:row r="171" ht="19" customHeight="1">
      <x:c r="A171" s="13" t="n">
        <x:v>167</x:v>
      </x:c>
      <x:c r="B171" s="12" t="n">
        <x:v>188.7</x:v>
      </x:c>
      <x:c r="C171" s="12" t="n">
        <x:f>B171-A171</x:f>
        <x:v>21.69999999999999</x:v>
      </x:c>
      <x:c r="D171" s="11" t="str">
        <x:v>Dylan Sampson</x:v>
      </x:c>
      <x:c r="E171" s="11" t="str">
        <x:v>RB</x:v>
      </x:c>
      <x:c r="F171" s="11" t="str">
        <x:v>CLE</x:v>
      </x:c>
      <x:c r="G171" s="13" t="n">
        <x:v>11</x:v>
      </x:c>
      <x:c r="H171" s="12" t="n">
        <x:v>135.6</x:v>
      </x:c>
      <x:c r="I171" s="12" t="n">
        <x:v>89</x:v>
      </x:c>
      <x:c r="J171" s="12" t="n">
        <x:v>46.6</x:v>
      </x:c>
      <x:c r="K171" s="12" t="n">
        <x:v>112.3</x:v>
      </x:c>
      <x:c r="L171" s="12" t="n">
        <x:v>10.9</x:v>
      </x:c>
      <x:c r="M171" s="12" t="n">
        <x:v>-29.2</x:v>
      </x:c>
      <x:c r="N171" s="11" t="str">
        <x:v>Medium</x:v>
      </x:c>
      <x:c r="O171" s="13" t="n">
        <x:v>4</x:v>
      </x:c>
      <x:c r="P171" s="13" t="n">
        <x:v>26</x:v>
      </x:c>
      <x:c r="Q171" s="11"/>
      <x:c r="R171" s="11" t="str">
        <x:v>Veteran model: 2025 form, prior-year trend and same team pass/run forecast; team pass volume #4, rush volume #26</x:v>
      </x:c>
    </x:row>
    <x:row r="172" ht="19" customHeight="1">
      <x:c r="A172" s="13" t="n">
        <x:v>168</x:v>
      </x:c>
      <x:c r="B172" s="12" t="n">
        <x:v>145.6</x:v>
      </x:c>
      <x:c r="C172" s="12" t="n">
        <x:f>B172-A172</x:f>
        <x:v>-22.400000000000006</x:v>
      </x:c>
      <x:c r="D172" s="11" t="str">
        <x:v>Kenyon Sadiq</x:v>
      </x:c>
      <x:c r="E172" s="11" t="str">
        <x:v>TE</x:v>
      </x:c>
      <x:c r="F172" s="11" t="str">
        <x:v>NYJ</x:v>
      </x:c>
      <x:c r="G172" s="13" t="n">
        <x:v>13</x:v>
      </x:c>
      <x:c r="H172" s="12" t="n">
        <x:v>129.5</x:v>
      </x:c>
      <x:c r="I172" s="12" t="n">
        <x:v>100</x:v>
      </x:c>
      <x:c r="J172" s="12" t="n">
        <x:v>29.5</x:v>
      </x:c>
      <x:c r="K172" s="12" t="n">
        <x:v>107.4</x:v>
      </x:c>
      <x:c r="L172" s="12" t="n">
        <x:v>17</x:v>
      </x:c>
      <x:c r="M172" s="12" t="n">
        <x:v>-29.4</x:v>
      </x:c>
      <x:c r="N172" s="11" t="str">
        <x:v>Low</x:v>
      </x:c>
      <x:c r="O172" s="13" t="n">
        <x:v>20</x:v>
      </x:c>
      <x:c r="P172" s="13" t="n">
        <x:v>28</x:v>
      </x:c>
      <x:c r="Q172" s="11" t="str">
        <x:v>Ques</x:v>
      </x:c>
      <x:c r="R172" s="11" t="str">
        <x:v>Rookie model: pick 16, age and destination-team environment; team pass volume #20, rush volume #28</x:v>
      </x:c>
    </x:row>
    <x:row r="173" ht="19" customHeight="1">
      <x:c r="A173" s="13" t="n">
        <x:v>169</x:v>
      </x:c>
      <x:c r="B173" s="12" t="n">
        <x:v>169.4</x:v>
      </x:c>
      <x:c r="C173" s="12" t="n">
        <x:f>B173-A173</x:f>
        <x:v>0.4000000000000057</x:v>
      </x:c>
      <x:c r="D173" s="11" t="str">
        <x:v>Tyler Shough</x:v>
      </x:c>
      <x:c r="E173" s="11" t="str">
        <x:v>QB</x:v>
      </x:c>
      <x:c r="F173" s="11" t="str">
        <x:v>NO</x:v>
      </x:c>
      <x:c r="G173" s="13" t="n">
        <x:v>8</x:v>
      </x:c>
      <x:c r="H173" s="12" t="n">
        <x:v>233.5</x:v>
      </x:c>
      <x:c r="I173" s="12" t="n">
        <x:v>271</x:v>
      </x:c>
      <x:c r="J173" s="12" t="n">
        <x:v>-37.5</x:v>
      </x:c>
      <x:c r="K173" s="12" t="n">
        <x:v>252.3</x:v>
      </x:c>
      <x:c r="L173" s="12" t="n">
        <x:v>10.8</x:v>
      </x:c>
      <x:c r="M173" s="12" t="n">
        <x:v>-30.9</x:v>
      </x:c>
      <x:c r="N173" s="11" t="str">
        <x:v>Medium</x:v>
      </x:c>
      <x:c r="O173" s="13" t="n">
        <x:v>8</x:v>
      </x:c>
      <x:c r="P173" s="13" t="n">
        <x:v>22</x:v>
      </x:c>
      <x:c r="Q173" s="11"/>
      <x:c r="R173" s="11" t="str">
        <x:v>Veteran model: 2025 form, prior-year trend and same team pass/run forecast; team pass volume #8, rush volume #22</x:v>
      </x:c>
    </x:row>
    <x:row r="174" ht="19" customHeight="1">
      <x:c r="A174" s="13" t="n">
        <x:v>170</x:v>
      </x:c>
      <x:c r="B174" s="12" t="n">
        <x:v>143.4</x:v>
      </x:c>
      <x:c r="C174" s="12" t="n">
        <x:f>B174-A174</x:f>
        <x:v>-26.599999999999994</x:v>
      </x:c>
      <x:c r="D174" s="11" t="str">
        <x:v>Jalen Coker</x:v>
      </x:c>
      <x:c r="E174" s="11" t="str">
        <x:v>WR</x:v>
      </x:c>
      <x:c r="F174" s="11" t="str">
        <x:v>CAR</x:v>
      </x:c>
      <x:c r="G174" s="13" t="n">
        <x:v>5</x:v>
      </x:c>
      <x:c r="H174" s="12" t="n">
        <x:v>128.5</x:v>
      </x:c>
      <x:c r="I174" s="12" t="n">
        <x:v>166</x:v>
      </x:c>
      <x:c r="J174" s="12" t="n">
        <x:v>-37.5</x:v>
      </x:c>
      <x:c r="K174" s="12" t="n">
        <x:v>147.3</x:v>
      </x:c>
      <x:c r="L174" s="12" t="n">
        <x:v>10.2</x:v>
      </x:c>
      <x:c r="M174" s="12" t="n">
        <x:v>-31</x:v>
      </x:c>
      <x:c r="N174" s="11" t="str">
        <x:v>Medium</x:v>
      </x:c>
      <x:c r="O174" s="13" t="n">
        <x:v>22</x:v>
      </x:c>
      <x:c r="P174" s="13" t="n">
        <x:v>23</x:v>
      </x:c>
      <x:c r="Q174" s="11"/>
      <x:c r="R174" s="11" t="str">
        <x:v>Veteran model: 2025 form, prior-year trend and same team pass/run forecast; team pass volume #22, rush volume #23</x:v>
      </x:c>
    </x:row>
    <x:row r="175" ht="19" customHeight="1">
      <x:c r="A175" s="13" t="n">
        <x:v>171</x:v>
      </x:c>
      <x:c r="B175" s="12" t="n">
        <x:v>51.4</x:v>
      </x:c>
      <x:c r="C175" s="12" t="n">
        <x:f>B175-A175</x:f>
        <x:v>-119.6</x:v>
      </x:c>
      <x:c r="D175" s="11" t="str">
        <x:v>David Montgomery</x:v>
      </x:c>
      <x:c r="E175" s="11" t="str">
        <x:v>RB</x:v>
      </x:c>
      <x:c r="F175" s="11" t="str">
        <x:v>HOU</x:v>
      </x:c>
      <x:c r="G175" s="13" t="n">
        <x:v>8</x:v>
      </x:c>
      <x:c r="H175" s="12" t="n">
        <x:v>139.3</x:v>
      </x:c>
      <x:c r="I175" s="12" t="n">
        <x:v>206</x:v>
      </x:c>
      <x:c r="J175" s="12" t="n">
        <x:v>-66.7</x:v>
      </x:c>
      <x:c r="K175" s="12" t="n">
        <x:v>162.6</x:v>
      </x:c>
      <x:c r="L175" s="12" t="n">
        <x:v>13.4</x:v>
      </x:c>
      <x:c r="M175" s="12" t="n">
        <x:v>-32.9</x:v>
      </x:c>
      <x:c r="N175" s="11" t="str">
        <x:v>High</x:v>
      </x:c>
      <x:c r="O175" s="13" t="n">
        <x:v>9</x:v>
      </x:c>
      <x:c r="P175" s="13" t="n">
        <x:v>17</x:v>
      </x:c>
      <x:c r="Q175" s="11"/>
      <x:c r="R175" s="11" t="str">
        <x:v>Veteran model: 2025 form, prior-year trend and new team pass/run forecast; team pass volume #9, rush volume #17</x:v>
      </x:c>
    </x:row>
    <x:row r="176" ht="19" customHeight="1">
      <x:c r="A176" s="13" t="n">
        <x:v>172</x:v>
      </x:c>
      <x:c r="B176" s="12" t="n">
        <x:v>239.6</x:v>
      </x:c>
      <x:c r="C176" s="12" t="n">
        <x:f>B176-A176</x:f>
        <x:v>67.6</x:v>
      </x:c>
      <x:c r="D176" s="11" t="str">
        <x:v>Eli Stowers</x:v>
      </x:c>
      <x:c r="E176" s="11" t="str">
        <x:v>TE</x:v>
      </x:c>
      <x:c r="F176" s="11" t="str">
        <x:v>PHI</x:v>
      </x:c>
      <x:c r="G176" s="13" t="n">
        <x:v>10</x:v>
      </x:c>
      <x:c r="H176" s="12" t="n">
        <x:v>111.2</x:v>
      </x:c>
      <x:c r="I176" s="12" t="n">
        <x:v>81</x:v>
      </x:c>
      <x:c r="J176" s="12" t="n">
        <x:v>30.2</x:v>
      </x:c>
      <x:c r="K176" s="12" t="n">
        <x:v>88.5</x:v>
      </x:c>
      <x:c r="L176" s="12" t="n">
        <x:v>11.9</x:v>
      </x:c>
      <x:c r="M176" s="12" t="n">
        <x:v>-33.4</x:v>
      </x:c>
      <x:c r="N176" s="11" t="str">
        <x:v>Low</x:v>
      </x:c>
      <x:c r="O176" s="13" t="n">
        <x:v>31</x:v>
      </x:c>
      <x:c r="P176" s="13" t="n">
        <x:v>2</x:v>
      </x:c>
      <x:c r="Q176" s="11"/>
      <x:c r="R176" s="11" t="str">
        <x:v>Rookie model: pick 54, age and destination-team environment; team pass volume #31, rush volume #2</x:v>
      </x:c>
    </x:row>
    <x:row r="177" ht="19" customHeight="1">
      <x:c r="A177" s="13" t="n">
        <x:v>173</x:v>
      </x:c>
      <x:c r="B177" s="12" t="n">
        <x:v>211.9</x:v>
      </x:c>
      <x:c r="C177" s="12" t="n">
        <x:f>B177-A177</x:f>
        <x:v>38.900000000000006</x:v>
      </x:c>
      <x:c r="D177" s="11" t="str">
        <x:v>Devin Neal</x:v>
      </x:c>
      <x:c r="E177" s="11" t="str">
        <x:v>RB</x:v>
      </x:c>
      <x:c r="F177" s="11" t="str">
        <x:v>NO</x:v>
      </x:c>
      <x:c r="G177" s="13" t="n">
        <x:v>8</x:v>
      </x:c>
      <x:c r="H177" s="12" t="n">
        <x:v>122.3</x:v>
      </x:c>
      <x:c r="I177" s="12" t="n">
        <x:v>32</x:v>
      </x:c>
      <x:c r="J177" s="12" t="n">
        <x:v>90.3</x:v>
      </x:c>
      <x:c r="K177" s="12" t="n">
        <x:v>77.2</x:v>
      </x:c>
      <x:c r="L177" s="12" t="n">
        <x:v>9.7</x:v>
      </x:c>
      <x:c r="M177" s="12" t="n">
        <x:v>-33.6</x:v>
      </x:c>
      <x:c r="N177" s="11" t="str">
        <x:v>Medium</x:v>
      </x:c>
      <x:c r="O177" s="13" t="n">
        <x:v>8</x:v>
      </x:c>
      <x:c r="P177" s="13" t="n">
        <x:v>22</x:v>
      </x:c>
      <x:c r="Q177" s="11"/>
      <x:c r="R177" s="11" t="str">
        <x:v>Veteran model: 2025 form, prior-year trend and same team pass/run forecast; team pass volume #8, rush volume #22</x:v>
      </x:c>
    </x:row>
    <x:row r="178" ht="19" customHeight="1">
      <x:c r="A178" s="13" t="n">
        <x:v>174</x:v>
      </x:c>
      <x:c r="B178" s="12" t="n">
        <x:v>239.8</x:v>
      </x:c>
      <x:c r="C178" s="12" t="n">
        <x:f>B178-A178</x:f>
        <x:v>65.80000000000001</x:v>
      </x:c>
      <x:c r="D178" s="11" t="str">
        <x:v>Devaughn Vele</x:v>
      </x:c>
      <x:c r="E178" s="11" t="str">
        <x:v>WR</x:v>
      </x:c>
      <x:c r="F178" s="11" t="str">
        <x:v>NO</x:v>
      </x:c>
      <x:c r="G178" s="13" t="n">
        <x:v>8</x:v>
      </x:c>
      <x:c r="H178" s="12" t="n">
        <x:v>115.5</x:v>
      </x:c>
      <x:c r="I178" s="12" t="n">
        <x:v>111</x:v>
      </x:c>
      <x:c r="J178" s="12" t="n">
        <x:v>4.5</x:v>
      </x:c>
      <x:c r="K178" s="12" t="n">
        <x:v>113.3</x:v>
      </x:c>
      <x:c r="L178" s="12" t="n">
        <x:v>8.9</x:v>
      </x:c>
      <x:c r="M178" s="12" t="n">
        <x:v>-33.8</x:v>
      </x:c>
      <x:c r="N178" s="11" t="str">
        <x:v>Medium</x:v>
      </x:c>
      <x:c r="O178" s="13" t="n">
        <x:v>8</x:v>
      </x:c>
      <x:c r="P178" s="13" t="n">
        <x:v>22</x:v>
      </x:c>
      <x:c r="Q178" s="11"/>
      <x:c r="R178" s="11" t="str">
        <x:v>Veteran model: 2025 form, prior-year trend and same team pass/run forecast; team pass volume #8, rush volume #22</x:v>
      </x:c>
    </x:row>
    <x:row r="179" ht="19" customHeight="1">
      <x:c r="A179" s="13" t="n">
        <x:v>175</x:v>
      </x:c>
      <x:c r="B179" s="12" t="n">
        <x:v>130.8</x:v>
      </x:c>
      <x:c r="C179" s="12" t="n">
        <x:f>B179-A179</x:f>
        <x:v>-44.19999999999999</x:v>
      </x:c>
      <x:c r="D179" s="11" t="str">
        <x:v>Matthew Golden</x:v>
      </x:c>
      <x:c r="E179" s="11" t="str">
        <x:v>WR</x:v>
      </x:c>
      <x:c r="F179" s="11" t="str">
        <x:v>GB</x:v>
      </x:c>
      <x:c r="G179" s="13" t="n">
        <x:v>11</x:v>
      </x:c>
      <x:c r="H179" s="12" t="n">
        <x:v>133.3</x:v>
      </x:c>
      <x:c r="I179" s="12" t="n">
        <x:v>170</x:v>
      </x:c>
      <x:c r="J179" s="12" t="n">
        <x:v>-36.7</x:v>
      </x:c>
      <x:c r="K179" s="12" t="n">
        <x:v>151.6</x:v>
      </x:c>
      <x:c r="L179" s="12" t="n">
        <x:v>12.5</x:v>
      </x:c>
      <x:c r="M179" s="12" t="n">
        <x:v>-34.4</x:v>
      </x:c>
      <x:c r="N179" s="11" t="str">
        <x:v>Medium</x:v>
      </x:c>
      <x:c r="O179" s="13" t="n">
        <x:v>30</x:v>
      </x:c>
      <x:c r="P179" s="13" t="n">
        <x:v>4</x:v>
      </x:c>
      <x:c r="Q179" s="11"/>
      <x:c r="R179" s="11" t="str">
        <x:v>Veteran model: 2025 form, prior-year trend and same team pass/run forecast; team pass volume #30, rush volume #4</x:v>
      </x:c>
    </x:row>
    <x:row r="180" ht="19" customHeight="1">
      <x:c r="A180" s="13" t="n">
        <x:v>176</x:v>
      </x:c>
      <x:c r="B180" s="12" t="n">
        <x:v>230.4</x:v>
      </x:c>
      <x:c r="C180" s="12" t="n">
        <x:f>B180-A180</x:f>
        <x:v>54.400000000000006</x:v>
      </x:c>
      <x:c r="D180" s="11" t="str">
        <x:v>Greg Dulcich</x:v>
      </x:c>
      <x:c r="E180" s="11" t="str">
        <x:v>TE</x:v>
      </x:c>
      <x:c r="F180" s="11" t="str">
        <x:v>MIA</x:v>
      </x:c>
      <x:c r="G180" s="13" t="n">
        <x:v>6</x:v>
      </x:c>
      <x:c r="H180" s="12" t="n">
        <x:v>102.8</x:v>
      </x:c>
      <x:c r="I180" s="12" t="n">
        <x:v>111</x:v>
      </x:c>
      <x:c r="J180" s="12" t="n">
        <x:v>-8.2</x:v>
      </x:c>
      <x:c r="K180" s="12" t="n">
        <x:v>106.9</x:v>
      </x:c>
      <x:c r="L180" s="12" t="n">
        <x:v>10.5</x:v>
      </x:c>
      <x:c r="M180" s="12" t="n">
        <x:v>-34.7</x:v>
      </x:c>
      <x:c r="N180" s="11" t="str">
        <x:v>Medium</x:v>
      </x:c>
      <x:c r="O180" s="13" t="n">
        <x:v>25</x:v>
      </x:c>
      <x:c r="P180" s="13" t="n">
        <x:v>24</x:v>
      </x:c>
      <x:c r="Q180" s="11"/>
      <x:c r="R180" s="11" t="str">
        <x:v>Veteran model: 2025 form, prior-year trend and same team pass/run forecast; team pass volume #25, rush volume #24</x:v>
      </x:c>
    </x:row>
    <x:row r="181" ht="19" customHeight="1">
      <x:c r="A181" s="13" t="n">
        <x:v>177</x:v>
      </x:c>
      <x:c r="B181" s="12" t="n">
        <x:v>192.5</x:v>
      </x:c>
      <x:c r="C181" s="12" t="n">
        <x:f>B181-A181</x:f>
        <x:v>15.5</x:v>
      </x:c>
      <x:c r="D181" s="11" t="str">
        <x:v>Malik Willis</x:v>
      </x:c>
      <x:c r="E181" s="11" t="str">
        <x:v>QB</x:v>
      </x:c>
      <x:c r="F181" s="11" t="str">
        <x:v>MIA</x:v>
      </x:c>
      <x:c r="G181" s="13" t="n">
        <x:v>6</x:v>
      </x:c>
      <x:c r="H181" s="12" t="n">
        <x:v>216.9</x:v>
      </x:c>
      <x:c r="I181" s="12" t="n">
        <x:v>270</x:v>
      </x:c>
      <x:c r="J181" s="12" t="n">
        <x:v>-53.1</x:v>
      </x:c>
      <x:c r="K181" s="12" t="n">
        <x:v>256.7</x:v>
      </x:c>
      <x:c r="L181" s="12" t="n">
        <x:v>9.2</x:v>
      </x:c>
      <x:c r="M181" s="12" t="n">
        <x:v>-35.3</x:v>
      </x:c>
      <x:c r="N181" s="11" t="str">
        <x:v>Low</x:v>
      </x:c>
      <x:c r="O181" s="13" t="n">
        <x:v>25</x:v>
      </x:c>
      <x:c r="P181" s="13" t="n">
        <x:v>24</x:v>
      </x:c>
      <x:c r="Q181" s="11"/>
      <x:c r="R181" s="11" t="str">
        <x:v>Veteran model: 2025 form, prior-year trend and new team pass/run forecast; team pass volume #25, rush volume #24</x:v>
      </x:c>
    </x:row>
    <x:row r="182" ht="19" customHeight="1">
      <x:c r="A182" s="13" t="n">
        <x:v>178</x:v>
      </x:c>
      <x:c r="B182" s="12" t="n">
        <x:v>240.9</x:v>
      </x:c>
      <x:c r="C182" s="12" t="n">
        <x:f>B182-A182</x:f>
        <x:v>62.900000000000006</x:v>
      </x:c>
      <x:c r="D182" s="11" t="str">
        <x:v>Chris Bell</x:v>
      </x:c>
      <x:c r="E182" s="11" t="str">
        <x:v>WR</x:v>
      </x:c>
      <x:c r="F182" s="11" t="str">
        <x:v>MIA</x:v>
      </x:c>
      <x:c r="G182" s="13" t="n">
        <x:v>6</x:v>
      </x:c>
      <x:c r="H182" s="12" t="n">
        <x:v>115.5</x:v>
      </x:c>
      <x:c r="I182" s="12" t="n">
        <x:v>67</x:v>
      </x:c>
      <x:c r="J182" s="12" t="n">
        <x:v>48.5</x:v>
      </x:c>
      <x:c r="K182" s="12" t="n">
        <x:v>79.1</x:v>
      </x:c>
      <x:c r="L182" s="12" t="n">
        <x:v>9.3</x:v>
      </x:c>
      <x:c r="M182" s="12" t="n">
        <x:v>-35.3</x:v>
      </x:c>
      <x:c r="N182" s="11" t="str">
        <x:v>Low</x:v>
      </x:c>
      <x:c r="O182" s="13" t="n">
        <x:v>25</x:v>
      </x:c>
      <x:c r="P182" s="13" t="n">
        <x:v>24</x:v>
      </x:c>
      <x:c r="Q182" s="11" t="str">
        <x:v>Ques</x:v>
      </x:c>
      <x:c r="R182" s="11" t="str">
        <x:v>Rookie model: pick 94, age and destination-team environment; team pass volume #25, rush volume #24</x:v>
      </x:c>
    </x:row>
    <x:row r="183" ht="19" customHeight="1">
      <x:c r="A183" s="13" t="n">
        <x:v>179</x:v>
      </x:c>
      <x:c r="B183" s="12" t="n">
        <x:v>224.3</x:v>
      </x:c>
      <x:c r="C183" s="12" t="n">
        <x:f>B183-A183</x:f>
        <x:v>45.30000000000001</x:v>
      </x:c>
      <x:c r="D183" s="11" t="str">
        <x:v>Mason Taylor</x:v>
      </x:c>
      <x:c r="E183" s="11" t="str">
        <x:v>TE</x:v>
      </x:c>
      <x:c r="F183" s="11" t="str">
        <x:v>NYJ</x:v>
      </x:c>
      <x:c r="G183" s="13" t="n">
        <x:v>13</x:v>
      </x:c>
      <x:c r="H183" s="12" t="n">
        <x:v>112.5</x:v>
      </x:c>
      <x:c r="I183" s="12" t="n">
        <x:v>96</x:v>
      </x:c>
      <x:c r="J183" s="12" t="n">
        <x:v>16.5</x:v>
      </x:c>
      <x:c r="K183" s="12" t="n">
        <x:v>104.2</x:v>
      </x:c>
      <x:c r="L183" s="12" t="n">
        <x:v>13.1</x:v>
      </x:c>
      <x:c r="M183" s="12" t="n">
        <x:v>-35.8</x:v>
      </x:c>
      <x:c r="N183" s="11" t="str">
        <x:v>Medium</x:v>
      </x:c>
      <x:c r="O183" s="13" t="n">
        <x:v>20</x:v>
      </x:c>
      <x:c r="P183" s="13" t="n">
        <x:v>28</x:v>
      </x:c>
      <x:c r="Q183" s="11"/>
      <x:c r="R183" s="11" t="str">
        <x:v>Veteran model: 2025 form, prior-year trend and same team pass/run forecast; team pass volume #20, rush volume #28</x:v>
      </x:c>
    </x:row>
    <x:row r="184" ht="19" customHeight="1">
      <x:c r="A184" s="13" t="n">
        <x:v>180</x:v>
      </x:c>
      <x:c r="B184" s="12" t="n">
        <x:v>116.6</x:v>
      </x:c>
      <x:c r="C184" s="12" t="n">
        <x:f>B184-A184</x:f>
        <x:v>-63.400000000000006</x:v>
      </x:c>
      <x:c r="D184" s="11" t="str">
        <x:v>Jonathon Brooks</x:v>
      </x:c>
      <x:c r="E184" s="11" t="str">
        <x:v>RB</x:v>
      </x:c>
      <x:c r="F184" s="11" t="str">
        <x:v>CAR</x:v>
      </x:c>
      <x:c r="G184" s="13" t="n">
        <x:v>5</x:v>
      </x:c>
      <x:c r="H184" s="12" t="n">
        <x:v>96.2</x:v>
      </x:c>
      <x:c r="I184" s="12" t="n">
        <x:v>155</x:v>
      </x:c>
      <x:c r="J184" s="12" t="n">
        <x:v>-58.8</x:v>
      </x:c>
      <x:c r="K184" s="12" t="n">
        <x:v>140.3</x:v>
      </x:c>
      <x:c r="L184" s="12" t="n">
        <x:v>7.2</x:v>
      </x:c>
      <x:c r="M184" s="12" t="n">
        <x:v>-36</x:v>
      </x:c>
      <x:c r="N184" s="11" t="str">
        <x:v>Low</x:v>
      </x:c>
      <x:c r="O184" s="13" t="n">
        <x:v>22</x:v>
      </x:c>
      <x:c r="P184" s="13" t="n">
        <x:v>23</x:v>
      </x:c>
      <x:c r="Q184" s="11"/>
      <x:c r="R184" s="11" t="str">
        <x:v>Veteran model: 2024 form, prior-year trend and same team pass/run forecast; team pass volume #22, rush volume #23</x:v>
      </x:c>
    </x:row>
    <x:row r="185" ht="19" customHeight="1">
      <x:c r="A185" s="13" t="n">
        <x:v>181</x:v>
      </x:c>
      <x:c r="B185" s="12" t="n">
        <x:v>61.1</x:v>
      </x:c>
      <x:c r="C185" s="12" t="n">
        <x:f>B185-A185</x:f>
        <x:v>-119.9</x:v>
      </x:c>
      <x:c r="D185" s="11" t="str">
        <x:v>Bhayshul Tuten</x:v>
      </x:c>
      <x:c r="E185" s="11" t="str">
        <x:v>RB</x:v>
      </x:c>
      <x:c r="F185" s="11" t="str">
        <x:v>JAX</x:v>
      </x:c>
      <x:c r="G185" s="13" t="n">
        <x:v>7</x:v>
      </x:c>
      <x:c r="H185" s="12" t="n">
        <x:v>124.6</x:v>
      </x:c>
      <x:c r="I185" s="12" t="n">
        <x:v>175</x:v>
      </x:c>
      <x:c r="J185" s="12" t="n">
        <x:v>-50.4</x:v>
      </x:c>
      <x:c r="K185" s="12" t="n">
        <x:v>149.8</x:v>
      </x:c>
      <x:c r="L185" s="12" t="n">
        <x:v>11</x:v>
      </x:c>
      <x:c r="M185" s="12" t="n">
        <x:v>-36.6</x:v>
      </x:c>
      <x:c r="N185" s="11" t="str">
        <x:v>Medium</x:v>
      </x:c>
      <x:c r="O185" s="13" t="n">
        <x:v>11</x:v>
      </x:c>
      <x:c r="P185" s="13" t="n">
        <x:v>15</x:v>
      </x:c>
      <x:c r="Q185" s="11"/>
      <x:c r="R185" s="11" t="str">
        <x:v>Veteran model: 2025 form, prior-year trend and same team pass/run forecast; team pass volume #11, rush volume #15</x:v>
      </x:c>
    </x:row>
    <x:row r="186" ht="19" customHeight="1">
      <x:c r="A186" s="13" t="n">
        <x:v>182</x:v>
      </x:c>
      <x:c r="B186" s="12" t="n">
        <x:v>103.5</x:v>
      </x:c>
      <x:c r="C186" s="12" t="n">
        <x:f>B186-A186</x:f>
        <x:v>-78.5</x:v>
      </x:c>
      <x:c r="D186" s="11" t="str">
        <x:v>Blake Corum</x:v>
      </x:c>
      <x:c r="E186" s="11" t="str">
        <x:v>RB</x:v>
      </x:c>
      <x:c r="F186" s="11" t="str">
        <x:v>LAR</x:v>
      </x:c>
      <x:c r="G186" s="13" t="n">
        <x:v>11</x:v>
      </x:c>
      <x:c r="H186" s="12" t="n">
        <x:v>130.9</x:v>
      </x:c>
      <x:c r="I186" s="12" t="n">
        <x:v>135</x:v>
      </x:c>
      <x:c r="J186" s="12" t="n">
        <x:v>-4.1</x:v>
      </x:c>
      <x:c r="K186" s="12" t="n">
        <x:v>132.3</x:v>
      </x:c>
      <x:c r="L186" s="12" t="n">
        <x:v>12.4</x:v>
      </x:c>
      <x:c r="M186" s="12" t="n">
        <x:v>-36.6</x:v>
      </x:c>
      <x:c r="N186" s="11" t="str">
        <x:v>High</x:v>
      </x:c>
      <x:c r="O186" s="13" t="n">
        <x:v>7</x:v>
      </x:c>
      <x:c r="P186" s="13" t="n">
        <x:v>14</x:v>
      </x:c>
      <x:c r="Q186" s="11"/>
      <x:c r="R186" s="11" t="str">
        <x:v>Veteran model: 2025 form, prior-year trend and same team pass/run forecast; team pass volume #7, rush volume #14</x:v>
      </x:c>
    </x:row>
    <x:row r="187" ht="19" customHeight="1">
      <x:c r="A187" s="13" t="n">
        <x:v>183</x:v>
      </x:c>
      <x:c r="B187" s="12" t="n">
        <x:v>171.9</x:v>
      </x:c>
      <x:c r="C187" s="12" t="n">
        <x:f>B187-A187</x:f>
        <x:v>-11.099999999999994</x:v>
      </x:c>
      <x:c r="D187" s="11" t="str">
        <x:v>Chig Okonkwo</x:v>
      </x:c>
      <x:c r="E187" s="11" t="str">
        <x:v>TE</x:v>
      </x:c>
      <x:c r="F187" s="11" t="str">
        <x:v>WAS</x:v>
      </x:c>
      <x:c r="G187" s="13" t="n">
        <x:v>7</x:v>
      </x:c>
      <x:c r="H187" s="12" t="n">
        <x:v>118.5</x:v>
      </x:c>
      <x:c r="I187" s="12" t="n">
        <x:v>144</x:v>
      </x:c>
      <x:c r="J187" s="12" t="n">
        <x:v>-25.5</x:v>
      </x:c>
      <x:c r="K187" s="12" t="n">
        <x:v>127.4</x:v>
      </x:c>
      <x:c r="L187" s="12" t="n">
        <x:v>15.5</x:v>
      </x:c>
      <x:c r="M187" s="12" t="n">
        <x:v>-36.8</x:v>
      </x:c>
      <x:c r="N187" s="11" t="str">
        <x:v>High</x:v>
      </x:c>
      <x:c r="O187" s="13" t="n">
        <x:v>29</x:v>
      </x:c>
      <x:c r="P187" s="13" t="n">
        <x:v>8</x:v>
      </x:c>
      <x:c r="Q187" s="11"/>
      <x:c r="R187" s="11" t="str">
        <x:v>Veteran model: 2025 form, prior-year trend and new team pass/run forecast; team pass volume #29, rush volume #8</x:v>
      </x:c>
    </x:row>
    <x:row r="188" ht="19" customHeight="1">
      <x:c r="A188" s="13" t="n">
        <x:v>184</x:v>
      </x:c>
      <x:c r="B188" s="12" t="n">
        <x:v>229.4</x:v>
      </x:c>
      <x:c r="C188" s="12" t="n">
        <x:f>B188-A188</x:f>
        <x:v>45.400000000000006</x:v>
      </x:c>
      <x:c r="D188" s="11" t="str">
        <x:v>Chimere Dike</x:v>
      </x:c>
      <x:c r="E188" s="11" t="str">
        <x:v>WR</x:v>
      </x:c>
      <x:c r="F188" s="11" t="str">
        <x:v>TEN</x:v>
      </x:c>
      <x:c r="G188" s="13" t="n">
        <x:v>9</x:v>
      </x:c>
      <x:c r="H188" s="12" t="n">
        <x:v>128.1</x:v>
      </x:c>
      <x:c r="I188" s="12" t="n">
        <x:v>89</x:v>
      </x:c>
      <x:c r="J188" s="12" t="n">
        <x:v>39.1</x:v>
      </x:c>
      <x:c r="K188" s="12" t="n">
        <x:v>108.5</x:v>
      </x:c>
      <x:c r="L188" s="12" t="n">
        <x:v>12.1</x:v>
      </x:c>
      <x:c r="M188" s="12" t="n">
        <x:v>-37</x:v>
      </x:c>
      <x:c r="N188" s="11" t="str">
        <x:v>Medium</x:v>
      </x:c>
      <x:c r="O188" s="13" t="n">
        <x:v>18</x:v>
      </x:c>
      <x:c r="P188" s="13" t="n">
        <x:v>30</x:v>
      </x:c>
      <x:c r="Q188" s="11"/>
      <x:c r="R188" s="11" t="str">
        <x:v>Veteran model: 2025 form, prior-year trend and same team pass/run forecast; team pass volume #18, rush volume #30</x:v>
      </x:c>
    </x:row>
    <x:row r="189" ht="19" customHeight="1">
      <x:c r="A189" s="13" t="n">
        <x:v>185</x:v>
      </x:c>
      <x:c r="B189" s="12" t="n">
        <x:v>188.2</x:v>
      </x:c>
      <x:c r="C189" s="12" t="n">
        <x:f>B189-A189</x:f>
        <x:v>3.1999999999999886</x:v>
      </x:c>
      <x:c r="D189" s="11" t="str">
        <x:v>Zachariah Branch</x:v>
      </x:c>
      <x:c r="E189" s="11" t="str">
        <x:v>WR</x:v>
      </x:c>
      <x:c r="F189" s="11" t="str">
        <x:v>ATL</x:v>
      </x:c>
      <x:c r="G189" s="13" t="n">
        <x:v>11</x:v>
      </x:c>
      <x:c r="H189" s="12" t="n">
        <x:v>112.8</x:v>
      </x:c>
      <x:c r="I189" s="12" t="n">
        <x:v>79</x:v>
      </x:c>
      <x:c r="J189" s="12" t="n">
        <x:v>33.8</x:v>
      </x:c>
      <x:c r="K189" s="12" t="n">
        <x:v>87.5</x:v>
      </x:c>
      <x:c r="L189" s="12" t="n">
        <x:v>9.4</x:v>
      </x:c>
      <x:c r="M189" s="12" t="n">
        <x:v>-37.2</x:v>
      </x:c>
      <x:c r="N189" s="11" t="str">
        <x:v>Low</x:v>
      </x:c>
      <x:c r="O189" s="13" t="n">
        <x:v>17</x:v>
      </x:c>
      <x:c r="P189" s="13" t="n">
        <x:v>5</x:v>
      </x:c>
      <x:c r="Q189" s="11"/>
      <x:c r="R189" s="11" t="str">
        <x:v>Rookie model: pick 79, age and destination-team environment; team pass volume #17, rush volume #5</x:v>
      </x:c>
    </x:row>
    <x:row r="190" ht="19" customHeight="1">
      <x:c r="A190" s="13" t="n">
        <x:v>186</x:v>
      </x:c>
      <x:c r="B190" s="12" t="n">
        <x:v>58.5</x:v>
      </x:c>
      <x:c r="C190" s="12" t="n">
        <x:f>B190-A190</x:f>
        <x:v>-127.5</x:v>
      </x:c>
      <x:c r="D190" s="11" t="str">
        <x:v>DJ Moore</x:v>
      </x:c>
      <x:c r="E190" s="11" t="str">
        <x:v>WR</x:v>
      </x:c>
      <x:c r="F190" s="11" t="str">
        <x:v>BUF</x:v>
      </x:c>
      <x:c r="G190" s="13" t="n">
        <x:v>7</x:v>
      </x:c>
      <x:c r="H190" s="12" t="n">
        <x:v>137.5</x:v>
      </x:c>
      <x:c r="I190" s="12" t="n">
        <x:v>179</x:v>
      </x:c>
      <x:c r="J190" s="12" t="n">
        <x:v>-41.5</x:v>
      </x:c>
      <x:c r="K190" s="12" t="n">
        <x:v>152.1</x:v>
      </x:c>
      <x:c r="L190" s="12" t="n">
        <x:v>15</x:v>
      </x:c>
      <x:c r="M190" s="12" t="n">
        <x:v>-37.6</x:v>
      </x:c>
      <x:c r="N190" s="11" t="str">
        <x:v>High</x:v>
      </x:c>
      <x:c r="O190" s="13" t="n">
        <x:v>28</x:v>
      </x:c>
      <x:c r="P190" s="13" t="n">
        <x:v>3</x:v>
      </x:c>
      <x:c r="Q190" s="11"/>
      <x:c r="R190" s="11" t="str">
        <x:v>Veteran model: 2025 form, prior-year trend and new team pass/run forecast; team pass volume #28, rush volume #3</x:v>
      </x:c>
    </x:row>
    <x:row r="191" ht="19" customHeight="1">
      <x:c r="A191" s="13" t="n">
        <x:v>187</x:v>
      </x:c>
      <x:c r="B191" s="12" t="n">
        <x:v>223.2</x:v>
      </x:c>
      <x:c r="C191" s="12" t="n">
        <x:f>B191-A191</x:f>
        <x:v>36.19999999999999</x:v>
      </x:c>
      <x:c r="D191" s="11" t="str">
        <x:v>Malachi Fields</x:v>
      </x:c>
      <x:c r="E191" s="11" t="str">
        <x:v>WR</x:v>
      </x:c>
      <x:c r="F191" s="11" t="str">
        <x:v>NYG</x:v>
      </x:c>
      <x:c r="G191" s="13" t="n">
        <x:v>8</x:v>
      </x:c>
      <x:c r="H191" s="12" t="n">
        <x:v>110.6</x:v>
      </x:c>
      <x:c r="I191" s="12" t="n">
        <x:v>91</x:v>
      </x:c>
      <x:c r="J191" s="12" t="n">
        <x:v>19.6</x:v>
      </x:c>
      <x:c r="K191" s="12" t="n">
        <x:v>95.9</x:v>
      </x:c>
      <x:c r="L191" s="12" t="n">
        <x:v>9.2</x:v>
      </x:c>
      <x:c r="M191" s="12" t="n">
        <x:v>-37.6</x:v>
      </x:c>
      <x:c r="N191" s="11" t="str">
        <x:v>Low</x:v>
      </x:c>
      <x:c r="O191" s="13" t="n">
        <x:v>19</x:v>
      </x:c>
      <x:c r="P191" s="13" t="n">
        <x:v>10</x:v>
      </x:c>
      <x:c r="Q191" s="11"/>
      <x:c r="R191" s="11" t="str">
        <x:v>Rookie model: pick 74, age and destination-team environment; team pass volume #19, rush volume #10</x:v>
      </x:c>
    </x:row>
    <x:row r="192" ht="19" customHeight="1">
      <x:c r="A192" s="13" t="n">
        <x:v>188</x:v>
      </x:c>
      <x:c r="B192" s="12" t="n">
        <x:v>208.2</x:v>
      </x:c>
      <x:c r="C192" s="12" t="n">
        <x:f>B192-A192</x:f>
        <x:v>20.19999999999999</x:v>
      </x:c>
      <x:c r="D192" s="11" t="str">
        <x:v>Cam Ward</x:v>
      </x:c>
      <x:c r="E192" s="11" t="str">
        <x:v>QB</x:v>
      </x:c>
      <x:c r="F192" s="11" t="str">
        <x:v>TEN</x:v>
      </x:c>
      <x:c r="G192" s="13" t="n">
        <x:v>9</x:v>
      </x:c>
      <x:c r="H192" s="12" t="n">
        <x:v>225.4</x:v>
      </x:c>
      <x:c r="I192" s="12" t="n">
        <x:v>228</x:v>
      </x:c>
      <x:c r="J192" s="12" t="n">
        <x:v>-2.6</x:v>
      </x:c>
      <x:c r="K192" s="12" t="n">
        <x:v>226.7</x:v>
      </x:c>
      <x:c r="L192" s="12" t="n">
        <x:v>11.6</x:v>
      </x:c>
      <x:c r="M192" s="12" t="n">
        <x:v>-38.8</x:v>
      </x:c>
      <x:c r="N192" s="11" t="str">
        <x:v>Medium</x:v>
      </x:c>
      <x:c r="O192" s="13" t="n">
        <x:v>18</x:v>
      </x:c>
      <x:c r="P192" s="13" t="n">
        <x:v>30</x:v>
      </x:c>
      <x:c r="Q192" s="11"/>
      <x:c r="R192" s="11" t="str">
        <x:v>Veteran model: 2025 form, prior-year trend and same team pass/run forecast; team pass volume #18, rush volume #30</x:v>
      </x:c>
    </x:row>
    <x:row r="193" ht="19" customHeight="1">
      <x:c r="A193" s="13" t="n">
        <x:v>189</x:v>
      </x:c>
      <x:c r="B193" s="12" t="n">
        <x:v>228.3</x:v>
      </x:c>
      <x:c r="C193" s="12" t="n">
        <x:f>B193-A193</x:f>
        <x:v>39.30000000000001</x:v>
      </x:c>
      <x:c r="D193" s="11" t="str">
        <x:v>Pat Bryant</x:v>
      </x:c>
      <x:c r="E193" s="11" t="str">
        <x:v>WR</x:v>
      </x:c>
      <x:c r="F193" s="11" t="str">
        <x:v>DEN</x:v>
      </x:c>
      <x:c r="G193" s="13" t="n">
        <x:v>10</x:v>
      </x:c>
      <x:c r="H193" s="12" t="n">
        <x:v>119.8</x:v>
      </x:c>
      <x:c r="I193" s="12" t="n">
        <x:v>96</x:v>
      </x:c>
      <x:c r="J193" s="12" t="n">
        <x:v>23.8</x:v>
      </x:c>
      <x:c r="K193" s="12" t="n">
        <x:v>107.9</x:v>
      </x:c>
      <x:c r="L193" s="12" t="n">
        <x:v>11</x:v>
      </x:c>
      <x:c r="M193" s="12" t="n">
        <x:v>-39</x:v>
      </x:c>
      <x:c r="N193" s="11" t="str">
        <x:v>Medium</x:v>
      </x:c>
      <x:c r="O193" s="13" t="n">
        <x:v>6</x:v>
      </x:c>
      <x:c r="P193" s="13" t="n">
        <x:v>19</x:v>
      </x:c>
      <x:c r="Q193" s="11"/>
      <x:c r="R193" s="11" t="str">
        <x:v>Veteran model: 2025 form, prior-year trend and same team pass/run forecast; team pass volume #6, rush volume #19</x:v>
      </x:c>
    </x:row>
    <x:row r="194" ht="19" customHeight="1">
      <x:c r="A194" s="13" t="n">
        <x:v>190</x:v>
      </x:c>
      <x:c r="B194" s="12" t="n">
        <x:v>224.8</x:v>
      </x:c>
      <x:c r="C194" s="12" t="n">
        <x:f>B194-A194</x:f>
        <x:v>34.80000000000001</x:v>
      </x:c>
      <x:c r="D194" s="11" t="str">
        <x:v>Kendre Miller</x:v>
      </x:c>
      <x:c r="E194" s="11" t="str">
        <x:v>RB</x:v>
      </x:c>
      <x:c r="F194" s="11" t="str">
        <x:v>NO</x:v>
      </x:c>
      <x:c r="G194" s="13" t="n">
        <x:v>8</x:v>
      </x:c>
      <x:c r="H194" s="12" t="n">
        <x:v>104.6</x:v>
      </x:c>
      <x:c r="I194" s="12" t="n">
        <x:v>6</x:v>
      </x:c>
      <x:c r="J194" s="12" t="n">
        <x:v>98.6</x:v>
      </x:c>
      <x:c r="K194" s="12" t="n">
        <x:v>55.3</x:v>
      </x:c>
      <x:c r="L194" s="12" t="n">
        <x:v>8.7</x:v>
      </x:c>
      <x:c r="M194" s="12" t="n">
        <x:v>-39.1</x:v>
      </x:c>
      <x:c r="N194" s="11" t="str">
        <x:v>Medium</x:v>
      </x:c>
      <x:c r="O194" s="13" t="n">
        <x:v>8</x:v>
      </x:c>
      <x:c r="P194" s="13" t="n">
        <x:v>22</x:v>
      </x:c>
      <x:c r="Q194" s="11"/>
      <x:c r="R194" s="11" t="str">
        <x:v>Veteran model: 2025 form, prior-year trend and same team pass/run forecast; team pass volume #8, rush volume #22</x:v>
      </x:c>
    </x:row>
    <x:row r="195" ht="19" customHeight="1">
      <x:c r="A195" s="13" t="n">
        <x:v>191</x:v>
      </x:c>
      <x:c r="B195" s="12" t="n">
        <x:v>118.7</x:v>
      </x:c>
      <x:c r="C195" s="12" t="n">
        <x:f>B195-A195</x:f>
        <x:v>-72.3</x:v>
      </x:c>
      <x:c r="D195" s="11" t="str">
        <x:v>Jordan Mason</x:v>
      </x:c>
      <x:c r="E195" s="11" t="str">
        <x:v>RB</x:v>
      </x:c>
      <x:c r="F195" s="11" t="str">
        <x:v>MIN</x:v>
      </x:c>
      <x:c r="G195" s="13" t="n">
        <x:v>6</x:v>
      </x:c>
      <x:c r="H195" s="12" t="n">
        <x:v>120.5</x:v>
      </x:c>
      <x:c r="I195" s="12" t="n">
        <x:v>154</x:v>
      </x:c>
      <x:c r="J195" s="12" t="n">
        <x:v>-33.5</x:v>
      </x:c>
      <x:c r="K195" s="12" t="n">
        <x:v>132.2</x:v>
      </x:c>
      <x:c r="L195" s="12" t="n">
        <x:v>11</x:v>
      </x:c>
      <x:c r="M195" s="12" t="n">
        <x:v>-39.2</x:v>
      </x:c>
      <x:c r="N195" s="11" t="str">
        <x:v>High</x:v>
      </x:c>
      <x:c r="O195" s="13" t="n">
        <x:v>26</x:v>
      </x:c>
      <x:c r="P195" s="13" t="n">
        <x:v>27</x:v>
      </x:c>
      <x:c r="Q195" s="11"/>
      <x:c r="R195" s="11" t="str">
        <x:v>Veteran model: 2025 form, prior-year trend and same team pass/run forecast; team pass volume #26, rush volume #27</x:v>
      </x:c>
    </x:row>
    <x:row r="196" ht="19" customHeight="1">
      <x:c r="A196" s="13" t="n">
        <x:v>192</x:v>
      </x:c>
      <x:c r="B196" s="12" t="n">
        <x:v>232.5</x:v>
      </x:c>
      <x:c r="C196" s="12" t="n">
        <x:f>B196-A196</x:f>
        <x:v>40.5</x:v>
      </x:c>
      <x:c r="D196" s="11" t="str">
        <x:v>Jaydon Blue</x:v>
      </x:c>
      <x:c r="E196" s="11" t="str">
        <x:v>RB</x:v>
      </x:c>
      <x:c r="F196" s="11" t="str">
        <x:v>DAL</x:v>
      </x:c>
      <x:c r="G196" s="13" t="n">
        <x:v>14</x:v>
      </x:c>
      <x:c r="H196" s="12" t="n">
        <x:v>101.5</x:v>
      </x:c>
      <x:c r="I196" s="12" t="n">
        <x:v>57</x:v>
      </x:c>
      <x:c r="J196" s="12" t="n">
        <x:v>44.5</x:v>
      </x:c>
      <x:c r="K196" s="12" t="n">
        <x:v>68.1</x:v>
      </x:c>
      <x:c r="L196" s="12" t="n">
        <x:v>8.4</x:v>
      </x:c>
      <x:c r="M196" s="12" t="n">
        <x:v>-39.3</x:v>
      </x:c>
      <x:c r="N196" s="11" t="str">
        <x:v>Low</x:v>
      </x:c>
      <x:c r="O196" s="13" t="n">
        <x:v>2</x:v>
      </x:c>
      <x:c r="P196" s="13" t="n">
        <x:v>20</x:v>
      </x:c>
      <x:c r="Q196" s="11" t="str">
        <x:v>Ques</x:v>
      </x:c>
      <x:c r="R196" s="11" t="str">
        <x:v>Veteran model: 2025 form, prior-year trend and same team pass/run forecast; team pass volume #2, rush volume #20</x:v>
      </x:c>
    </x:row>
    <x:row r="197" ht="19" customHeight="1">
      <x:c r="A197" s="13" t="n">
        <x:v>193</x:v>
      </x:c>
      <x:c r="B197" s="12" t="n">
        <x:v>239.6</x:v>
      </x:c>
      <x:c r="C197" s="12" t="n">
        <x:f>B197-A197</x:f>
        <x:v>46.599999999999994</x:v>
      </x:c>
      <x:c r="D197" s="11" t="str">
        <x:v>Ted Hurst</x:v>
      </x:c>
      <x:c r="E197" s="11" t="str">
        <x:v>WR</x:v>
      </x:c>
      <x:c r="F197" s="11" t="str">
        <x:v>TB</x:v>
      </x:c>
      <x:c r="G197" s="13" t="n">
        <x:v>10</x:v>
      </x:c>
      <x:c r="H197" s="12" t="n">
        <x:v>113</x:v>
      </x:c>
      <x:c r="I197" s="12" t="n">
        <x:v>98</x:v>
      </x:c>
      <x:c r="J197" s="12" t="n">
        <x:v>15</x:v>
      </x:c>
      <x:c r="K197" s="12" t="n">
        <x:v>101.7</x:v>
      </x:c>
      <x:c r="L197" s="12" t="n">
        <x:v>10</x:v>
      </x:c>
      <x:c r="M197" s="12" t="n">
        <x:v>-39.5</x:v>
      </x:c>
      <x:c r="N197" s="11" t="str">
        <x:v>Low</x:v>
      </x:c>
      <x:c r="O197" s="13" t="n">
        <x:v>12</x:v>
      </x:c>
      <x:c r="P197" s="13" t="n">
        <x:v>11</x:v>
      </x:c>
      <x:c r="Q197" s="11"/>
      <x:c r="R197" s="11" t="str">
        <x:v>Rookie model: pick 84, age and destination-team environment; team pass volume #12, rush volume #11</x:v>
      </x:c>
    </x:row>
    <x:row r="198" ht="19" customHeight="1">
      <x:c r="A198" s="13" t="n">
        <x:v>194</x:v>
      </x:c>
      <x:c r="B198" s="12" t="n">
        <x:v>200.3</x:v>
      </x:c>
      <x:c r="C198" s="12" t="n">
        <x:f>B198-A198</x:f>
        <x:v>6.300000000000011</x:v>
      </x:c>
      <x:c r="D198" s="11" t="str">
        <x:v>MarShawn Lloyd</x:v>
      </x:c>
      <x:c r="E198" s="11" t="str">
        <x:v>RB</x:v>
      </x:c>
      <x:c r="F198" s="11" t="str">
        <x:v>GB</x:v>
      </x:c>
      <x:c r="G198" s="13" t="n">
        <x:v>11</x:v>
      </x:c>
      <x:c r="H198" s="12" t="n">
        <x:v>80.3</x:v>
      </x:c>
      <x:c r="I198" s="12" t="n">
        <x:v>52</x:v>
      </x:c>
      <x:c r="J198" s="12" t="n">
        <x:v>28.3</x:v>
      </x:c>
      <x:c r="K198" s="12" t="n">
        <x:v>59.1</x:v>
      </x:c>
      <x:c r="L198" s="12" t="n">
        <x:v>6.7</x:v>
      </x:c>
      <x:c r="M198" s="12" t="n">
        <x:v>-39.7</x:v>
      </x:c>
      <x:c r="N198" s="11" t="str">
        <x:v>Low</x:v>
      </x:c>
      <x:c r="O198" s="13" t="n">
        <x:v>30</x:v>
      </x:c>
      <x:c r="P198" s="13" t="n">
        <x:v>4</x:v>
      </x:c>
      <x:c r="Q198" s="11"/>
      <x:c r="R198" s="11" t="str">
        <x:v>Veteran model: 2024 form, prior-year trend and same team pass/run forecast; team pass volume #30, rush volume #4</x:v>
      </x:c>
    </x:row>
    <x:row r="199" ht="19" customHeight="1">
      <x:c r="A199" s="13" t="n">
        <x:v>195</x:v>
      </x:c>
      <x:c r="B199" s="12" t="n">
        <x:v>218.7</x:v>
      </x:c>
      <x:c r="C199" s="12" t="n">
        <x:f>B199-A199</x:f>
        <x:v>23.69999999999999</x:v>
      </x:c>
      <x:c r="D199" s="11" t="str">
        <x:v>Antonio Williams</x:v>
      </x:c>
      <x:c r="E199" s="11" t="str">
        <x:v>WR</x:v>
      </x:c>
      <x:c r="F199" s="11" t="str">
        <x:v>WAS</x:v>
      </x:c>
      <x:c r="G199" s="13" t="n">
        <x:v>7</x:v>
      </x:c>
      <x:c r="H199" s="12" t="n">
        <x:v>112</x:v>
      </x:c>
      <x:c r="I199" s="12" t="n">
        <x:v>75</x:v>
      </x:c>
      <x:c r="J199" s="12" t="n">
        <x:v>37</x:v>
      </x:c>
      <x:c r="K199" s="12" t="n">
        <x:v>84.2</x:v>
      </x:c>
      <x:c r="L199" s="12" t="n">
        <x:v>10.2</x:v>
      </x:c>
      <x:c r="M199" s="12" t="n">
        <x:v>-40.9</x:v>
      </x:c>
      <x:c r="N199" s="11" t="str">
        <x:v>Low</x:v>
      </x:c>
      <x:c r="O199" s="13" t="n">
        <x:v>29</x:v>
      </x:c>
      <x:c r="P199" s="13" t="n">
        <x:v>8</x:v>
      </x:c>
      <x:c r="Q199" s="11"/>
      <x:c r="R199" s="11" t="str">
        <x:v>Rookie model: pick 71, age and destination-team environment; team pass volume #29, rush volume #8</x:v>
      </x:c>
    </x:row>
    <x:row r="200" ht="19" customHeight="1">
      <x:c r="A200" s="13" t="n">
        <x:v>196</x:v>
      </x:c>
      <x:c r="B200" s="12" t="n">
        <x:v>228.7</x:v>
      </x:c>
      <x:c r="C200" s="12" t="n">
        <x:f>B200-A200</x:f>
        <x:v>32.69999999999999</x:v>
      </x:c>
      <x:c r="D200" s="11" t="str">
        <x:v>Tory Horton</x:v>
      </x:c>
      <x:c r="E200" s="11" t="str">
        <x:v>WR</x:v>
      </x:c>
      <x:c r="F200" s="11" t="str">
        <x:v>SEA</x:v>
      </x:c>
      <x:c r="G200" s="13" t="n">
        <x:v>11</x:v>
      </x:c>
      <x:c r="H200" s="12" t="n">
        <x:v>113.4</x:v>
      </x:c>
      <x:c r="I200" s="12" t="n">
        <x:v>92</x:v>
      </x:c>
      <x:c r="J200" s="12" t="n">
        <x:v>21.4</x:v>
      </x:c>
      <x:c r="K200" s="12" t="n">
        <x:v>102.7</x:v>
      </x:c>
      <x:c r="L200" s="12" t="n">
        <x:v>10.5</x:v>
      </x:c>
      <x:c r="M200" s="12" t="n">
        <x:v>-41.2</x:v>
      </x:c>
      <x:c r="N200" s="11" t="str">
        <x:v>Medium</x:v>
      </x:c>
      <x:c r="O200" s="13" t="n">
        <x:v>23</x:v>
      </x:c>
      <x:c r="P200" s="13" t="n">
        <x:v>21</x:v>
      </x:c>
      <x:c r="Q200" s="11" t="str">
        <x:v>Ques</x:v>
      </x:c>
      <x:c r="R200" s="11" t="str">
        <x:v>Veteran model: 2025 form, prior-year trend and same team pass/run forecast; team pass volume #23, rush volume #21</x:v>
      </x:c>
    </x:row>
    <x:row r="201" ht="19" customHeight="1">
      <x:c r="A201" s="13" t="n">
        <x:v>197</x:v>
      </x:c>
      <x:c r="B201" s="12" t="n">
        <x:v>236.1</x:v>
      </x:c>
      <x:c r="C201" s="12" t="n">
        <x:f>B201-A201</x:f>
        <x:v>39.099999999999994</x:v>
      </x:c>
      <x:c r="D201" s="11" t="str">
        <x:v>Shedeur Sanders</x:v>
      </x:c>
      <x:c r="E201" s="11" t="str">
        <x:v>QB</x:v>
      </x:c>
      <x:c r="F201" s="11" t="str">
        <x:v>CLE</x:v>
      </x:c>
      <x:c r="G201" s="13" t="n">
        <x:v>11</x:v>
      </x:c>
      <x:c r="H201" s="12" t="n">
        <x:v>183.2</x:v>
      </x:c>
      <x:c r="I201" s="12" t="n">
        <x:v>97</x:v>
      </x:c>
      <x:c r="J201" s="12" t="n">
        <x:v>86.2</x:v>
      </x:c>
      <x:c r="K201" s="12" t="n">
        <x:v>140.1</x:v>
      </x:c>
      <x:c r="L201" s="12" t="n">
        <x:v>7.2</x:v>
      </x:c>
      <x:c r="M201" s="12" t="n">
        <x:v>-41.9</x:v>
      </x:c>
      <x:c r="N201" s="11" t="str">
        <x:v>Medium</x:v>
      </x:c>
      <x:c r="O201" s="13" t="n">
        <x:v>4</x:v>
      </x:c>
      <x:c r="P201" s="13" t="n">
        <x:v>26</x:v>
      </x:c>
      <x:c r="Q201" s="11"/>
      <x:c r="R201" s="11" t="str">
        <x:v>Veteran model: 2025 form, prior-year trend and same team pass/run forecast; team pass volume #4, rush volume #26</x:v>
      </x:c>
    </x:row>
    <x:row r="202" ht="19" customHeight="1">
      <x:c r="A202" s="13" t="n">
        <x:v>198</x:v>
      </x:c>
      <x:c r="B202" s="12" t="n">
        <x:v>209.4</x:v>
      </x:c>
      <x:c r="C202" s="12" t="n">
        <x:f>B202-A202</x:f>
        <x:v>11.400000000000006</x:v>
      </x:c>
      <x:c r="D202" s="11" t="str">
        <x:v>Terrance Ferguson</x:v>
      </x:c>
      <x:c r="E202" s="11" t="str">
        <x:v>TE</x:v>
      </x:c>
      <x:c r="F202" s="11" t="str">
        <x:v>LAR</x:v>
      </x:c>
      <x:c r="G202" s="13" t="n">
        <x:v>11</x:v>
      </x:c>
      <x:c r="H202" s="12" t="n">
        <x:v>95.3</x:v>
      </x:c>
      <x:c r="I202" s="12" t="n">
        <x:v>100</x:v>
      </x:c>
      <x:c r="J202" s="12" t="n">
        <x:v>-4.7</x:v>
      </x:c>
      <x:c r="K202" s="12" t="n">
        <x:v>97.7</x:v>
      </x:c>
      <x:c r="L202" s="12" t="n">
        <x:v>11.5</x:v>
      </x:c>
      <x:c r="M202" s="12" t="n">
        <x:v>-43</x:v>
      </x:c>
      <x:c r="N202" s="11" t="str">
        <x:v>Medium</x:v>
      </x:c>
      <x:c r="O202" s="13" t="n">
        <x:v>7</x:v>
      </x:c>
      <x:c r="P202" s="13" t="n">
        <x:v>14</x:v>
      </x:c>
      <x:c r="Q202" s="11"/>
      <x:c r="R202" s="11" t="str">
        <x:v>Veteran model: 2025 form, prior-year trend and same team pass/run forecast; team pass volume #7, rush volume #14</x:v>
      </x:c>
    </x:row>
    <x:row r="203" ht="19" customHeight="1">
      <x:c r="A203" s="13" t="n">
        <x:v>199</x:v>
      </x:c>
      <x:c r="B203" s="12" t="n">
        <x:v>212.3</x:v>
      </x:c>
      <x:c r="C203" s="12" t="n">
        <x:f>B203-A203</x:f>
        <x:v>13.300000000000011</x:v>
      </x:c>
      <x:c r="D203" s="11" t="str">
        <x:v>Najee Harris</x:v>
      </x:c>
      <x:c r="E203" s="11" t="str">
        <x:v>RB</x:v>
      </x:c>
      <x:c r="F203" s="11" t="str">
        <x:v>NYG</x:v>
      </x:c>
      <x:c r="G203" s="13" t="n">
        <x:v>8</x:v>
      </x:c>
      <x:c r="H203" s="12" t="n">
        <x:v>95.3</x:v>
      </x:c>
      <x:c r="I203" s="12" t="n">
        <x:v>26</x:v>
      </x:c>
      <x:c r="J203" s="12" t="n">
        <x:v>69.3</x:v>
      </x:c>
      <x:c r="K203" s="12" t="n">
        <x:v>43.3</x:v>
      </x:c>
      <x:c r="L203" s="12" t="n">
        <x:v>8.6</x:v>
      </x:c>
      <x:c r="M203" s="12" t="n">
        <x:v>-43.4</x:v>
      </x:c>
      <x:c r="N203" s="11" t="str">
        <x:v>Low</x:v>
      </x:c>
      <x:c r="O203" s="13" t="n">
        <x:v>19</x:v>
      </x:c>
      <x:c r="P203" s="13" t="n">
        <x:v>10</x:v>
      </x:c>
      <x:c r="Q203" s="11"/>
      <x:c r="R203" s="11" t="str">
        <x:v>Veteran model: 2025 form, prior-year trend and new team pass/run forecast; team pass volume #19, rush volume #10</x:v>
      </x:c>
    </x:row>
    <x:row r="204" ht="19" customHeight="1">
      <x:c r="A204" s="13" t="n">
        <x:v>200</x:v>
      </x:c>
      <x:c r="B204" s="12" t="n">
        <x:v>191.2</x:v>
      </x:c>
      <x:c r="C204" s="12" t="n">
        <x:f>B204-A204</x:f>
        <x:v>-8.800000000000011</x:v>
      </x:c>
      <x:c r="D204" s="11" t="str">
        <x:v>Nicholas Singleton</x:v>
      </x:c>
      <x:c r="E204" s="11" t="str">
        <x:v>RB</x:v>
      </x:c>
      <x:c r="F204" s="11" t="str">
        <x:v>TEN</x:v>
      </x:c>
      <x:c r="G204" s="13" t="n">
        <x:v>9</x:v>
      </x:c>
      <x:c r="H204" s="12" t="n">
        <x:v>98.8</x:v>
      </x:c>
      <x:c r="I204" s="12" t="n">
        <x:v>64</x:v>
      </x:c>
      <x:c r="J204" s="12" t="n">
        <x:v>34.8</x:v>
      </x:c>
      <x:c r="K204" s="12" t="n">
        <x:v>72.7</x:v>
      </x:c>
      <x:c r="L204" s="12" t="n">
        <x:v>9</x:v>
      </x:c>
      <x:c r="M204" s="12" t="n">
        <x:v>-43.6</x:v>
      </x:c>
      <x:c r="N204" s="11" t="str">
        <x:v>Low</x:v>
      </x:c>
      <x:c r="O204" s="13" t="n">
        <x:v>18</x:v>
      </x:c>
      <x:c r="P204" s="13" t="n">
        <x:v>30</x:v>
      </x:c>
      <x:c r="Q204" s="11"/>
      <x:c r="R204" s="11" t="str">
        <x:v>Rookie model: pick 165, age and destination-team environment; team pass volume #18, rush volume #30</x:v>
      </x:c>
    </x:row>
    <x:row r="205" ht="19" customHeight="1">
      <x:c r="A205" s="13" t="n">
        <x:v>201</x:v>
      </x:c>
      <x:c r="B205" s="12" t="n">
        <x:v>211</x:v>
      </x:c>
      <x:c r="C205" s="12" t="n">
        <x:f>B205-A205</x:f>
        <x:v>10</x:v>
      </x:c>
      <x:c r="D205" s="11" t="str">
        <x:v>Braelon Allen</x:v>
      </x:c>
      <x:c r="E205" s="11" t="str">
        <x:v>RB</x:v>
      </x:c>
      <x:c r="F205" s="11" t="str">
        <x:v>NYJ</x:v>
      </x:c>
      <x:c r="G205" s="13" t="n">
        <x:v>13</x:v>
      </x:c>
      <x:c r="H205" s="12" t="n">
        <x:v>85.4</x:v>
      </x:c>
      <x:c r="I205" s="12" t="n">
        <x:v>52</x:v>
      </x:c>
      <x:c r="J205" s="12" t="n">
        <x:v>33.4</x:v>
      </x:c>
      <x:c r="K205" s="12" t="n">
        <x:v>60.3</x:v>
      </x:c>
      <x:c r="L205" s="12" t="n">
        <x:v>7.9</x:v>
      </x:c>
      <x:c r="M205" s="12" t="n">
        <x:v>-44.5</x:v>
      </x:c>
      <x:c r="N205" s="11" t="str">
        <x:v>Low</x:v>
      </x:c>
      <x:c r="O205" s="13" t="n">
        <x:v>20</x:v>
      </x:c>
      <x:c r="P205" s="13" t="n">
        <x:v>28</x:v>
      </x:c>
      <x:c r="Q205" s="11"/>
      <x:c r="R205" s="11" t="str">
        <x:v>Veteran model: 2025 form, prior-year trend and same team pass/run forecast; team pass volume #20, rush volume #28</x:v>
      </x:c>
    </x:row>
    <x:row r="206" ht="19" customHeight="1">
      <x:c r="A206" s="13" t="n">
        <x:v>202</x:v>
      </x:c>
      <x:c r="B206" s="12" t="n">
        <x:v>224.2</x:v>
      </x:c>
      <x:c r="C206" s="12" t="n">
        <x:f>B206-A206</x:f>
        <x:v>22.19999999999999</x:v>
      </x:c>
      <x:c r="D206" s="11" t="str">
        <x:v>J.J. McCarthy</x:v>
      </x:c>
      <x:c r="E206" s="11" t="str">
        <x:v>QB</x:v>
      </x:c>
      <x:c r="F206" s="11" t="str">
        <x:v>MIN</x:v>
      </x:c>
      <x:c r="G206" s="13" t="n">
        <x:v>6</x:v>
      </x:c>
      <x:c r="H206" s="12" t="n">
        <x:v>202.1</x:v>
      </x:c>
      <x:c r="I206" s="12" t="n">
        <x:v>20</x:v>
      </x:c>
      <x:c r="J206" s="12" t="n">
        <x:v>182.1</x:v>
      </x:c>
      <x:c r="K206" s="12" t="n">
        <x:v>111.1</x:v>
      </x:c>
      <x:c r="L206" s="12" t="n">
        <x:v>9.5</x:v>
      </x:c>
      <x:c r="M206" s="12" t="n">
        <x:v>-44.8</x:v>
      </x:c>
      <x:c r="N206" s="11" t="str">
        <x:v>Medium</x:v>
      </x:c>
      <x:c r="O206" s="13" t="n">
        <x:v>26</x:v>
      </x:c>
      <x:c r="P206" s="13" t="n">
        <x:v>27</x:v>
      </x:c>
      <x:c r="Q206" s="11"/>
      <x:c r="R206" s="11" t="str">
        <x:v>Veteran model: 2025 form, prior-year trend and same team pass/run forecast; team pass volume #26, rush volume #27</x:v>
      </x:c>
    </x:row>
    <x:row r="207" ht="19" customHeight="1">
      <x:c r="A207" s="13" t="n">
        <x:v>203</x:v>
      </x:c>
      <x:c r="B207" s="12" t="n">
        <x:v>195.6</x:v>
      </x:c>
      <x:c r="C207" s="12" t="n">
        <x:f>B207-A207</x:f>
        <x:v>-7.400000000000006</x:v>
      </x:c>
      <x:c r="D207" s="11" t="str">
        <x:v>Emmett Johnson</x:v>
      </x:c>
      <x:c r="E207" s="11" t="str">
        <x:v>RB</x:v>
      </x:c>
      <x:c r="F207" s="11" t="str">
        <x:v>KC</x:v>
      </x:c>
      <x:c r="G207" s="13" t="n">
        <x:v>5</x:v>
      </x:c>
      <x:c r="H207" s="12" t="n">
        <x:v>97.2</x:v>
      </x:c>
      <x:c r="I207" s="12" t="n">
        <x:v>65</x:v>
      </x:c>
      <x:c r="J207" s="12" t="n">
        <x:v>32.2</x:v>
      </x:c>
      <x:c r="K207" s="12" t="n">
        <x:v>73.1</x:v>
      </x:c>
      <x:c r="L207" s="12" t="n">
        <x:v>9.2</x:v>
      </x:c>
      <x:c r="M207" s="12" t="n">
        <x:v>-45.4</x:v>
      </x:c>
      <x:c r="N207" s="11" t="str">
        <x:v>Low</x:v>
      </x:c>
      <x:c r="O207" s="13" t="n">
        <x:v>5</x:v>
      </x:c>
      <x:c r="P207" s="13" t="n">
        <x:v>25</x:v>
      </x:c>
      <x:c r="Q207" s="11"/>
      <x:c r="R207" s="11" t="str">
        <x:v>Rookie model: pick 161, age and destination-team environment; team pass volume #5, rush volume #25</x:v>
      </x:c>
    </x:row>
    <x:row r="208" ht="19" customHeight="1">
      <x:c r="A208" s="13" t="n">
        <x:v>204</x:v>
      </x:c>
      <x:c r="B208" s="12" t="n">
        <x:v>242</x:v>
      </x:c>
      <x:c r="C208" s="12" t="n">
        <x:f>B208-A208</x:f>
        <x:v>38</x:v>
      </x:c>
      <x:c r="D208" s="11" t="str">
        <x:v>Demond Claiborne</x:v>
      </x:c>
      <x:c r="E208" s="11" t="str">
        <x:v>RB</x:v>
      </x:c>
      <x:c r="F208" s="11" t="str">
        <x:v>MIN</x:v>
      </x:c>
      <x:c r="G208" s="13" t="n">
        <x:v>6</x:v>
      </x:c>
      <x:c r="H208" s="12" t="n">
        <x:v>82</x:v>
      </x:c>
      <x:c r="I208" s="12" t="n">
        <x:v>25</x:v>
      </x:c>
      <x:c r="J208" s="12" t="n">
        <x:v>57</x:v>
      </x:c>
      <x:c r="K208" s="12" t="n">
        <x:v>39.2</x:v>
      </x:c>
      <x:c r="L208" s="12" t="n">
        <x:v>7.8</x:v>
      </x:c>
      <x:c r="M208" s="12" t="n">
        <x:v>-45.5</x:v>
      </x:c>
      <x:c r="N208" s="11" t="str">
        <x:v>Low</x:v>
      </x:c>
      <x:c r="O208" s="13" t="n">
        <x:v>26</x:v>
      </x:c>
      <x:c r="P208" s="13" t="n">
        <x:v>27</x:v>
      </x:c>
      <x:c r="Q208" s="11"/>
      <x:c r="R208" s="11" t="str">
        <x:v>Rookie model: pick 198, age and destination-team environment; team pass volume #26, rush volume #27</x:v>
      </x:c>
    </x:row>
    <x:row r="209" ht="19" customHeight="1">
      <x:c r="A209" s="13" t="n">
        <x:v>205</x:v>
      </x:c>
      <x:c r="B209" s="12" t="n">
        <x:v>235.5</x:v>
      </x:c>
      <x:c r="C209" s="12" t="n">
        <x:f>B209-A209</x:f>
        <x:v>30.5</x:v>
      </x:c>
      <x:c r="D209" s="11" t="str">
        <x:v>Ryan Flournoy</x:v>
      </x:c>
      <x:c r="E209" s="11" t="str">
        <x:v>WR</x:v>
      </x:c>
      <x:c r="F209" s="11" t="str">
        <x:v>DAL</x:v>
      </x:c>
      <x:c r="G209" s="13" t="n">
        <x:v>14</x:v>
      </x:c>
      <x:c r="H209" s="12" t="n">
        <x:v>111.3</x:v>
      </x:c>
      <x:c r="I209" s="12" t="n">
        <x:v>121</x:v>
      </x:c>
      <x:c r="J209" s="12" t="n">
        <x:v>-9.7</x:v>
      </x:c>
      <x:c r="K209" s="12" t="n">
        <x:v>114.7</x:v>
      </x:c>
      <x:c r="L209" s="12" t="n">
        <x:v>11.3</x:v>
      </x:c>
      <x:c r="M209" s="12" t="n">
        <x:v>-45.7</x:v>
      </x:c>
      <x:c r="N209" s="11" t="str">
        <x:v>High</x:v>
      </x:c>
      <x:c r="O209" s="13" t="n">
        <x:v>2</x:v>
      </x:c>
      <x:c r="P209" s="13" t="n">
        <x:v>20</x:v>
      </x:c>
      <x:c r="Q209" s="11"/>
      <x:c r="R209" s="11" t="str">
        <x:v>Veteran model: 2025 form, prior-year trend and same team pass/run forecast; team pass volume #2, rush volume #20</x:v>
      </x:c>
    </x:row>
    <x:row r="210" ht="19" customHeight="1">
      <x:c r="A210" s="13" t="n">
        <x:v>206</x:v>
      </x:c>
      <x:c r="B210" s="12" t="n">
        <x:v>238.2</x:v>
      </x:c>
      <x:c r="C210" s="12" t="n">
        <x:f>B210-A210</x:f>
        <x:v>32.19999999999999</x:v>
      </x:c>
      <x:c r="D210" s="11" t="str">
        <x:v>Jack Bech</x:v>
      </x:c>
      <x:c r="E210" s="11" t="str">
        <x:v>WR</x:v>
      </x:c>
      <x:c r="F210" s="11" t="str">
        <x:v>LV</x:v>
      </x:c>
      <x:c r="G210" s="13" t="n">
        <x:v>13</x:v>
      </x:c>
      <x:c r="H210" s="12" t="n">
        <x:v>102.4</x:v>
      </x:c>
      <x:c r="I210" s="12" t="n">
        <x:v>78</x:v>
      </x:c>
      <x:c r="J210" s="12" t="n">
        <x:v>24.4</x:v>
      </x:c>
      <x:c r="K210" s="12" t="n">
        <x:v>90.2</x:v>
      </x:c>
      <x:c r="L210" s="12" t="n">
        <x:v>10</x:v>
      </x:c>
      <x:c r="M210" s="12" t="n">
        <x:v>-45.7</x:v>
      </x:c>
      <x:c r="N210" s="11" t="str">
        <x:v>Medium</x:v>
      </x:c>
      <x:c r="O210" s="13" t="n">
        <x:v>15</x:v>
      </x:c>
      <x:c r="P210" s="13" t="n">
        <x:v>32</x:v>
      </x:c>
      <x:c r="Q210" s="11"/>
      <x:c r="R210" s="11" t="str">
        <x:v>Veteran model: 2025 form, prior-year trend and same team pass/run forecast; team pass volume #15, rush volume #32</x:v>
      </x:c>
    </x:row>
    <x:row r="211" ht="19" customHeight="1">
      <x:c r="A211" s="13" t="n">
        <x:v>207</x:v>
      </x:c>
      <x:c r="B211" s="12" t="n">
        <x:v>232.7</x:v>
      </x:c>
      <x:c r="C211" s="12" t="n">
        <x:f>B211-A211</x:f>
        <x:v>25.69999999999999</x:v>
      </x:c>
      <x:c r="D211" s="11" t="str">
        <x:v>Rashod Bateman</x:v>
      </x:c>
      <x:c r="E211" s="11" t="str">
        <x:v>WR</x:v>
      </x:c>
      <x:c r="F211" s="11" t="str">
        <x:v>BAL</x:v>
      </x:c>
      <x:c r="G211" s="13" t="n">
        <x:v>13</x:v>
      </x:c>
      <x:c r="H211" s="12" t="n">
        <x:v>104.3</x:v>
      </x:c>
      <x:c r="I211" s="12" t="n">
        <x:v>102</x:v>
      </x:c>
      <x:c r="J211" s="12" t="n">
        <x:v>2.3</x:v>
      </x:c>
      <x:c r="K211" s="12" t="n">
        <x:v>103.5</x:v>
      </x:c>
      <x:c r="L211" s="12" t="n">
        <x:v>10.3</x:v>
      </x:c>
      <x:c r="M211" s="12" t="n">
        <x:v>-45.9</x:v>
      </x:c>
      <x:c r="N211" s="11" t="str">
        <x:v>High</x:v>
      </x:c>
      <x:c r="O211" s="13" t="n">
        <x:v>32</x:v>
      </x:c>
      <x:c r="P211" s="13" t="n">
        <x:v>1</x:v>
      </x:c>
      <x:c r="Q211" s="11"/>
      <x:c r="R211" s="11" t="str">
        <x:v>Veteran model: 2025 form, prior-year trend and same team pass/run forecast; team pass volume #32, rush volume #1</x:v>
      </x:c>
    </x:row>
    <x:row r="212" ht="19" customHeight="1">
      <x:c r="A212" s="13" t="n">
        <x:v>208</x:v>
      </x:c>
      <x:c r="B212" s="12" t="n">
        <x:v>209.8</x:v>
      </x:c>
      <x:c r="C212" s="12" t="n">
        <x:f>B212-A212</x:f>
        <x:v>1.8000000000000114</x:v>
      </x:c>
      <x:c r="D212" s="11" t="str">
        <x:v>Tre' Harris</x:v>
      </x:c>
      <x:c r="E212" s="11" t="str">
        <x:v>WR</x:v>
      </x:c>
      <x:c r="F212" s="11" t="str">
        <x:v>LAC</x:v>
      </x:c>
      <x:c r="G212" s="13" t="n">
        <x:v>7</x:v>
      </x:c>
      <x:c r="H212" s="12" t="n">
        <x:v>113.1</x:v>
      </x:c>
      <x:c r="I212" s="12" t="n">
        <x:v>113</x:v>
      </x:c>
      <x:c r="J212" s="12" t="n">
        <x:v>0.1</x:v>
      </x:c>
      <x:c r="K212" s="12" t="n">
        <x:v>113</x:v>
      </x:c>
      <x:c r="L212" s="12" t="n">
        <x:v>11.7</x:v>
      </x:c>
      <x:c r="M212" s="12" t="n">
        <x:v>-46.1</x:v>
      </x:c>
      <x:c r="N212" s="11" t="str">
        <x:v>Medium</x:v>
      </x:c>
      <x:c r="O212" s="13" t="n">
        <x:v>14</x:v>
      </x:c>
      <x:c r="P212" s="13" t="n">
        <x:v>16</x:v>
      </x:c>
      <x:c r="Q212" s="11"/>
      <x:c r="R212" s="11" t="str">
        <x:v>Veteran model: 2025 form, prior-year trend and same team pass/run forecast; team pass volume #14, rush volume #16</x:v>
      </x:c>
    </x:row>
    <x:row r="213" ht="19" customHeight="1">
      <x:c r="A213" s="13" t="n">
        <x:v>209</x:v>
      </x:c>
      <x:c r="B213" s="12" t="n">
        <x:v>241.4</x:v>
      </x:c>
      <x:c r="C213" s="12" t="n">
        <x:f>B213-A213</x:f>
        <x:v>32.400000000000006</x:v>
      </x:c>
      <x:c r="D213" s="11" t="str">
        <x:v>Jake Tonges</x:v>
      </x:c>
      <x:c r="E213" s="11" t="str">
        <x:v>TE</x:v>
      </x:c>
      <x:c r="F213" s="11" t="str">
        <x:v>SF</x:v>
      </x:c>
      <x:c r="G213" s="13" t="n">
        <x:v>8</x:v>
      </x:c>
      <x:c r="H213" s="12" t="n">
        <x:v>82.7</x:v>
      </x:c>
      <x:c r="I213" s="12" t="n">
        <x:v>71</x:v>
      </x:c>
      <x:c r="J213" s="12" t="n">
        <x:v>11.7</x:v>
      </x:c>
      <x:c r="K213" s="12" t="n">
        <x:v>76.9</x:v>
      </x:c>
      <x:c r="L213" s="12" t="n">
        <x:v>10.3</x:v>
      </x:c>
      <x:c r="M213" s="12" t="n">
        <x:v>-46.2</x:v>
      </x:c>
      <x:c r="N213" s="11" t="str">
        <x:v>Medium</x:v>
      </x:c>
      <x:c r="O213" s="13" t="n">
        <x:v>16</x:v>
      </x:c>
      <x:c r="P213" s="13" t="n">
        <x:v>9</x:v>
      </x:c>
      <x:c r="Q213" s="11"/>
      <x:c r="R213" s="11" t="str">
        <x:v>Veteran model: 2025 form, prior-year trend and same team pass/run forecast; team pass volume #16, rush volume #9</x:v>
      </x:c>
    </x:row>
    <x:row r="214" ht="19" customHeight="1">
      <x:c r="A214" s="13" t="n">
        <x:v>210</x:v>
      </x:c>
      <x:c r="B214" s="12" t="n">
        <x:v>113.7</x:v>
      </x:c>
      <x:c r="C214" s="12" t="n">
        <x:f>B214-A214</x:f>
        <x:v>-96.3</x:v>
      </x:c>
      <x:c r="D214" s="11" t="str">
        <x:v>Isaiah Likely</x:v>
      </x:c>
      <x:c r="E214" s="11" t="str">
        <x:v>TE</x:v>
      </x:c>
      <x:c r="F214" s="11" t="str">
        <x:v>NYG</x:v>
      </x:c>
      <x:c r="G214" s="13" t="n">
        <x:v>8</x:v>
      </x:c>
      <x:c r="H214" s="12" t="n">
        <x:v>95.4</x:v>
      </x:c>
      <x:c r="I214" s="12" t="n">
        <x:v>157</x:v>
      </x:c>
      <x:c r="J214" s="12" t="n">
        <x:v>-61.6</x:v>
      </x:c>
      <x:c r="K214" s="12" t="n">
        <x:v>117</x:v>
      </x:c>
      <x:c r="L214" s="12" t="n">
        <x:v>12.6</x:v>
      </x:c>
      <x:c r="M214" s="12" t="n">
        <x:v>-47.1</x:v>
      </x:c>
      <x:c r="N214" s="11" t="str">
        <x:v>High</x:v>
      </x:c>
      <x:c r="O214" s="13" t="n">
        <x:v>19</x:v>
      </x:c>
      <x:c r="P214" s="13" t="n">
        <x:v>10</x:v>
      </x:c>
      <x:c r="Q214" s="11"/>
      <x:c r="R214" s="11" t="str">
        <x:v>Veteran model: 2025 form, prior-year trend and new team pass/run forecast; team pass volume #19, rush volume #10</x:v>
      </x:c>
    </x:row>
    <x:row r="215" ht="19" customHeight="1">
      <x:c r="A215" s="13" t="n">
        <x:v>211</x:v>
      </x:c>
      <x:c r="B215" s="12" t="n">
        <x:v>198.2</x:v>
      </x:c>
      <x:c r="C215" s="12" t="n">
        <x:f>B215-A215</x:f>
        <x:v>-12.800000000000011</x:v>
      </x:c>
      <x:c r="D215" s="11" t="str">
        <x:v>Cyrus Allen</x:v>
      </x:c>
      <x:c r="E215" s="11" t="str">
        <x:v>WR</x:v>
      </x:c>
      <x:c r="F215" s="11" t="str">
        <x:v>KC</x:v>
      </x:c>
      <x:c r="G215" s="13" t="n">
        <x:v>5</x:v>
      </x:c>
      <x:c r="H215" s="12" t="n">
        <x:v>60.6</x:v>
      </x:c>
      <x:c r="I215" s="12" t="n">
        <x:v>95</x:v>
      </x:c>
      <x:c r="J215" s="12" t="n">
        <x:v>-34.4</x:v>
      </x:c>
      <x:c r="K215" s="12" t="n">
        <x:v>86.4</x:v>
      </x:c>
      <x:c r="L215" s="12" t="n">
        <x:v>6.7</x:v>
      </x:c>
      <x:c r="M215" s="12" t="n">
        <x:v>-47.1</x:v>
      </x:c>
      <x:c r="N215" s="11" t="str">
        <x:v>Low</x:v>
      </x:c>
      <x:c r="O215" s="13" t="n">
        <x:v>5</x:v>
      </x:c>
      <x:c r="P215" s="13" t="n">
        <x:v>25</x:v>
      </x:c>
      <x:c r="Q215" s="11"/>
      <x:c r="R215" s="11" t="str">
        <x:v>Rookie model: pick 176, age and destination-team environment; team pass volume #5, rush volume #25</x:v>
      </x:c>
    </x:row>
    <x:row r="216" ht="19" customHeight="1">
      <x:c r="A216" s="13" t="n">
        <x:v>212</x:v>
      </x:c>
      <x:c r="B216" s="12" t="n">
        <x:v>217.5</x:v>
      </x:c>
      <x:c r="C216" s="12" t="n">
        <x:f>B216-A216</x:f>
        <x:v>5.5</x:v>
      </x:c>
      <x:c r="D216" s="11" t="str">
        <x:v>Kaleb Johnson</x:v>
      </x:c>
      <x:c r="E216" s="11" t="str">
        <x:v>RB</x:v>
      </x:c>
      <x:c r="F216" s="11" t="str">
        <x:v>PIT</x:v>
      </x:c>
      <x:c r="G216" s="13" t="n">
        <x:v>9</x:v>
      </x:c>
      <x:c r="H216" s="12" t="n">
        <x:v>89.4</x:v>
      </x:c>
      <x:c r="I216" s="12" t="n">
        <x:v>32</x:v>
      </x:c>
      <x:c r="J216" s="12" t="n">
        <x:v>57.4</x:v>
      </x:c>
      <x:c r="K216" s="12" t="n">
        <x:v>60.7</x:v>
      </x:c>
      <x:c r="L216" s="12" t="n">
        <x:v>8.8</x:v>
      </x:c>
      <x:c r="M216" s="12" t="n">
        <x:v>-47.5</x:v>
      </x:c>
      <x:c r="N216" s="11" t="str">
        <x:v>Medium</x:v>
      </x:c>
      <x:c r="O216" s="13" t="n">
        <x:v>24</x:v>
      </x:c>
      <x:c r="P216" s="13" t="n">
        <x:v>18</x:v>
      </x:c>
      <x:c r="Q216" s="11"/>
      <x:c r="R216" s="11" t="str">
        <x:v>Veteran model: 2025 form, prior-year trend and same team pass/run forecast; team pass volume #24, rush volume #18</x:v>
      </x:c>
    </x:row>
    <x:row r="217" ht="19" customHeight="1">
      <x:c r="A217" s="13" t="n">
        <x:v>213</x:v>
      </x:c>
      <x:c r="B217" s="12" t="n">
        <x:v>227.9</x:v>
      </x:c>
      <x:c r="C217" s="12" t="n">
        <x:f>B217-A217</x:f>
        <x:v>14.900000000000006</x:v>
      </x:c>
      <x:c r="D217" s="11" t="str">
        <x:v>Michael Penix</x:v>
      </x:c>
      <x:c r="E217" s="11" t="str">
        <x:v>QB</x:v>
      </x:c>
      <x:c r="F217" s="11" t="str">
        <x:v>ATL</x:v>
      </x:c>
      <x:c r="G217" s="13" t="n">
        <x:v>11</x:v>
      </x:c>
      <x:c r="H217" s="12" t="n">
        <x:v>202.8</x:v>
      </x:c>
      <x:c r="I217" s="12" t="n">
        <x:v>108</x:v>
      </x:c>
      <x:c r="J217" s="12" t="n">
        <x:v>94.8</x:v>
      </x:c>
      <x:c r="K217" s="12" t="n">
        <x:v>155.4</x:v>
      </x:c>
      <x:c r="L217" s="12" t="n">
        <x:v>10.3</x:v>
      </x:c>
      <x:c r="M217" s="12" t="n">
        <x:v>-48.1</x:v>
      </x:c>
      <x:c r="N217" s="11" t="str">
        <x:v>Medium</x:v>
      </x:c>
      <x:c r="O217" s="13" t="n">
        <x:v>17</x:v>
      </x:c>
      <x:c r="P217" s="13" t="n">
        <x:v>5</x:v>
      </x:c>
      <x:c r="Q217" s="11" t="str">
        <x:v>Ques</x:v>
      </x:c>
      <x:c r="R217" s="11" t="str">
        <x:v>Veteran model: 2025 form, prior-year trend and same team pass/run forecast; team pass volume #17, rush volume #5</x:v>
      </x:c>
    </x:row>
    <x:row r="218" ht="19" customHeight="1">
      <x:c r="A218" s="13" t="n">
        <x:v>214</x:v>
      </x:c>
      <x:c r="B218" s="12" t="n">
        <x:v>234.3</x:v>
      </x:c>
      <x:c r="C218" s="12" t="n">
        <x:f>B218-A218</x:f>
        <x:v>20.30000000000001</x:v>
      </x:c>
      <x:c r="D218" s="11" t="str">
        <x:v>Gunnar Helm</x:v>
      </x:c>
      <x:c r="E218" s="11" t="str">
        <x:v>TE</x:v>
      </x:c>
      <x:c r="F218" s="11" t="str">
        <x:v>TEN</x:v>
      </x:c>
      <x:c r="G218" s="13" t="n">
        <x:v>9</x:v>
      </x:c>
      <x:c r="H218" s="12" t="n">
        <x:v>98.4</x:v>
      </x:c>
      <x:c r="I218" s="12" t="n">
        <x:v>130</x:v>
      </x:c>
      <x:c r="J218" s="12" t="n">
        <x:v>-31.6</x:v>
      </x:c>
      <x:c r="K218" s="12" t="n">
        <x:v>114.2</x:v>
      </x:c>
      <x:c r="L218" s="12" t="n">
        <x:v>13.6</x:v>
      </x:c>
      <x:c r="M218" s="12" t="n">
        <x:v>-48.4</x:v>
      </x:c>
      <x:c r="N218" s="11" t="str">
        <x:v>Medium</x:v>
      </x:c>
      <x:c r="O218" s="13" t="n">
        <x:v>18</x:v>
      </x:c>
      <x:c r="P218" s="13" t="n">
        <x:v>30</x:v>
      </x:c>
      <x:c r="Q218" s="11"/>
      <x:c r="R218" s="11" t="str">
        <x:v>Veteran model: 2025 form, prior-year trend and same team pass/run forecast; team pass volume #18, rush volume #30</x:v>
      </x:c>
    </x:row>
    <x:row r="219" ht="19" customHeight="1">
      <x:c r="A219" s="13" t="n">
        <x:v>215</x:v>
      </x:c>
      <x:c r="B219" s="12" t="n">
        <x:v>174.3</x:v>
      </x:c>
      <x:c r="C219" s="12" t="n">
        <x:f>B219-A219</x:f>
        <x:v>-40.69999999999999</x:v>
      </x:c>
      <x:c r="D219" s="11" t="str">
        <x:v>Ja'Kobi Lane</x:v>
      </x:c>
      <x:c r="E219" s="11" t="str">
        <x:v>WR</x:v>
      </x:c>
      <x:c r="F219" s="11" t="str">
        <x:v>BAL</x:v>
      </x:c>
      <x:c r="G219" s="13" t="n">
        <x:v>13</x:v>
      </x:c>
      <x:c r="H219" s="12" t="n">
        <x:v>101.6</x:v>
      </x:c>
      <x:c r="I219" s="12" t="n">
        <x:v>105</x:v>
      </x:c>
      <x:c r="J219" s="12" t="n">
        <x:v>-3.4</x:v>
      </x:c>
      <x:c r="K219" s="12" t="n">
        <x:v>104.1</x:v>
      </x:c>
      <x:c r="L219" s="12" t="n">
        <x:v>10.5</x:v>
      </x:c>
      <x:c r="M219" s="12" t="n">
        <x:v>-48.5</x:v>
      </x:c>
      <x:c r="N219" s="11" t="str">
        <x:v>Low</x:v>
      </x:c>
      <x:c r="O219" s="13" t="n">
        <x:v>32</x:v>
      </x:c>
      <x:c r="P219" s="13" t="n">
        <x:v>1</x:v>
      </x:c>
      <x:c r="Q219" s="11"/>
      <x:c r="R219" s="11" t="str">
        <x:v>Rookie model: pick 80, age and destination-team environment; team pass volume #32, rush volume #1</x:v>
      </x:c>
    </x:row>
    <x:row r="220" ht="19" customHeight="1">
      <x:c r="A220" s="13" t="n">
        <x:v>216</x:v>
      </x:c>
      <x:c r="B220" s="12" t="n">
        <x:v>219.5</x:v>
      </x:c>
      <x:c r="C220" s="12" t="n">
        <x:f>B220-A220</x:f>
        <x:v>3.5</x:v>
      </x:c>
      <x:c r="D220" s="11" t="str">
        <x:v>Marvin Mims</x:v>
      </x:c>
      <x:c r="E220" s="11" t="str">
        <x:v>WR</x:v>
      </x:c>
      <x:c r="F220" s="11" t="str">
        <x:v>DEN</x:v>
      </x:c>
      <x:c r="G220" s="13" t="n">
        <x:v>10</x:v>
      </x:c>
      <x:c r="H220" s="12" t="n">
        <x:v>112.4</x:v>
      </x:c>
      <x:c r="I220" s="12" t="n">
        <x:v>70</x:v>
      </x:c>
      <x:c r="J220" s="12" t="n">
        <x:v>42.4</x:v>
      </x:c>
      <x:c r="K220" s="12" t="n">
        <x:v>97.6</x:v>
      </x:c>
      <x:c r="L220" s="12" t="n">
        <x:v>12.2</x:v>
      </x:c>
      <x:c r="M220" s="12" t="n">
        <x:v>-48.6</x:v>
      </x:c>
      <x:c r="N220" s="11" t="str">
        <x:v>High</x:v>
      </x:c>
      <x:c r="O220" s="13" t="n">
        <x:v>6</x:v>
      </x:c>
      <x:c r="P220" s="13" t="n">
        <x:v>19</x:v>
      </x:c>
      <x:c r="Q220" s="11" t="str">
        <x:v>Ques</x:v>
      </x:c>
      <x:c r="R220" s="11" t="str">
        <x:v>Veteran model: 2025 form, prior-year trend and same team pass/run forecast; team pass volume #6, rush volume #19</x:v>
      </x:c>
    </x:row>
    <x:row r="221" ht="19" customHeight="1">
      <x:c r="A221" s="13" t="n">
        <x:v>217</x:v>
      </x:c>
      <x:c r="B221" s="12" t="n">
        <x:v>237.7</x:v>
      </x:c>
      <x:c r="C221" s="12" t="n">
        <x:f>B221-A221</x:f>
        <x:v>20.69999999999999</x:v>
      </x:c>
      <x:c r="D221" s="11" t="str">
        <x:v>Adonai Mitchell</x:v>
      </x:c>
      <x:c r="E221" s="11" t="str">
        <x:v>WR</x:v>
      </x:c>
      <x:c r="F221" s="11" t="str">
        <x:v>NYJ</x:v>
      </x:c>
      <x:c r="G221" s="13" t="n">
        <x:v>13</x:v>
      </x:c>
      <x:c r="H221" s="12" t="n">
        <x:v>109.2</x:v>
      </x:c>
      <x:c r="I221" s="12" t="n">
        <x:v>98</x:v>
      </x:c>
      <x:c r="J221" s="12" t="n">
        <x:v>11.2</x:v>
      </x:c>
      <x:c r="K221" s="12" t="n">
        <x:v>105.2</x:v>
      </x:c>
      <x:c r="L221" s="12" t="n">
        <x:v>11.7</x:v>
      </x:c>
      <x:c r="M221" s="12" t="n">
        <x:v>-48.8</x:v>
      </x:c>
      <x:c r="N221" s="11" t="str">
        <x:v>High</x:v>
      </x:c>
      <x:c r="O221" s="13" t="n">
        <x:v>20</x:v>
      </x:c>
      <x:c r="P221" s="13" t="n">
        <x:v>28</x:v>
      </x:c>
      <x:c r="Q221" s="11"/>
      <x:c r="R221" s="11" t="str">
        <x:v>Veteran model: 2025 form, prior-year trend and same team pass/run forecast; team pass volume #20, rush volume #28</x:v>
      </x:c>
    </x:row>
    <x:row r="222" ht="19" customHeight="1">
      <x:c r="A222" s="13" t="n">
        <x:v>218</x:v>
      </x:c>
      <x:c r="B222" s="12" t="n">
        <x:v>226.3</x:v>
      </x:c>
      <x:c r="C222" s="12" t="n">
        <x:f>B222-A222</x:f>
        <x:v>8.300000000000011</x:v>
      </x:c>
      <x:c r="D222" s="11" t="str">
        <x:v>Brashard Smith</x:v>
      </x:c>
      <x:c r="E222" s="11" t="str">
        <x:v>RB</x:v>
      </x:c>
      <x:c r="F222" s="11" t="str">
        <x:v>KC</x:v>
      </x:c>
      <x:c r="G222" s="13" t="n">
        <x:v>5</x:v>
      </x:c>
      <x:c r="H222" s="12" t="n">
        <x:v>107.5</x:v>
      </x:c>
      <x:c r="I222" s="12" t="n">
        <x:v>20</x:v>
      </x:c>
      <x:c r="J222" s="12" t="n">
        <x:v>87.5</x:v>
      </x:c>
      <x:c r="K222" s="12" t="n">
        <x:v>63.7</x:v>
      </x:c>
      <x:c r="L222" s="12" t="n">
        <x:v>11.3</x:v>
      </x:c>
      <x:c r="M222" s="12" t="n">
        <x:v>-48.9</x:v>
      </x:c>
      <x:c r="N222" s="11" t="str">
        <x:v>Medium</x:v>
      </x:c>
      <x:c r="O222" s="13" t="n">
        <x:v>5</x:v>
      </x:c>
      <x:c r="P222" s="13" t="n">
        <x:v>25</x:v>
      </x:c>
      <x:c r="Q222" s="11"/>
      <x:c r="R222" s="11" t="str">
        <x:v>Veteran model: 2025 form, prior-year trend and same team pass/run forecast; team pass volume #5, rush volume #25</x:v>
      </x:c>
    </x:row>
    <x:row r="223" ht="19" customHeight="1">
      <x:c r="A223" s="13" t="n">
        <x:v>219</x:v>
      </x:c>
      <x:c r="B223" s="12" t="n">
        <x:v>186.6</x:v>
      </x:c>
      <x:c r="C223" s="12" t="n">
        <x:f>B223-A223</x:f>
        <x:v>-32.400000000000006</x:v>
      </x:c>
      <x:c r="D223" s="11" t="str">
        <x:v>Isiah Pacheco</x:v>
      </x:c>
      <x:c r="E223" s="11" t="str">
        <x:v>RB</x:v>
      </x:c>
      <x:c r="F223" s="11" t="str">
        <x:v>DET</x:v>
      </x:c>
      <x:c r="G223" s="13" t="n">
        <x:v>6</x:v>
      </x:c>
      <x:c r="H223" s="12" t="n">
        <x:v>104.2</x:v>
      </x:c>
      <x:c r="I223" s="12" t="n">
        <x:v>54</x:v>
      </x:c>
      <x:c r="J223" s="12" t="n">
        <x:v>50.2</x:v>
      </x:c>
      <x:c r="K223" s="12" t="n">
        <x:v>86.6</x:v>
      </x:c>
      <x:c r="L223" s="12" t="n">
        <x:v>11.1</x:v>
      </x:c>
      <x:c r="M223" s="12" t="n">
        <x:v>-50.2</x:v>
      </x:c>
      <x:c r="N223" s="11" t="str">
        <x:v>High</x:v>
      </x:c>
      <x:c r="O223" s="13" t="n">
        <x:v>10</x:v>
      </x:c>
      <x:c r="P223" s="13" t="n">
        <x:v>7</x:v>
      </x:c>
      <x:c r="Q223" s="11" t="str">
        <x:v>Ques</x:v>
      </x:c>
      <x:c r="R223" s="11" t="str">
        <x:v>Veteran model: 2025 form, prior-year trend and new team pass/run forecast; team pass volume #10, rush volume #7</x:v>
      </x:c>
    </x:row>
    <x:row r="224" ht="19" customHeight="1">
      <x:c r="A224" s="13" t="n">
        <x:v>220</x:v>
      </x:c>
      <x:c r="B224" s="12" t="n">
        <x:v>213.7</x:v>
      </x:c>
      <x:c r="C224" s="12" t="n">
        <x:f>B224-A224</x:f>
        <x:v>-6.300000000000011</x:v>
      </x:c>
      <x:c r="D224" s="11" t="str">
        <x:v>Jaylin Noel</x:v>
      </x:c>
      <x:c r="E224" s="11" t="str">
        <x:v>WR</x:v>
      </x:c>
      <x:c r="F224" s="11" t="str">
        <x:v>HOU</x:v>
      </x:c>
      <x:c r="G224" s="13" t="n">
        <x:v>8</x:v>
      </x:c>
      <x:c r="H224" s="12" t="n">
        <x:v>106.7</x:v>
      </x:c>
      <x:c r="I224" s="12" t="n">
        <x:v>114</x:v>
      </x:c>
      <x:c r="J224" s="12" t="n">
        <x:v>-7.3</x:v>
      </x:c>
      <x:c r="K224" s="12" t="n">
        <x:v>110.3</x:v>
      </x:c>
      <x:c r="L224" s="12" t="n">
        <x:v>11.7</x:v>
      </x:c>
      <x:c r="M224" s="12" t="n">
        <x:v>-50.5</x:v>
      </x:c>
      <x:c r="N224" s="11" t="str">
        <x:v>Medium</x:v>
      </x:c>
      <x:c r="O224" s="13" t="n">
        <x:v>9</x:v>
      </x:c>
      <x:c r="P224" s="13" t="n">
        <x:v>17</x:v>
      </x:c>
      <x:c r="Q224" s="11" t="str">
        <x:v>Ques</x:v>
      </x:c>
      <x:c r="R224" s="11" t="str">
        <x:v>Veteran model: 2025 form, prior-year trend and same team pass/run forecast; team pass volume #9, rush volume #17</x:v>
      </x:c>
    </x:row>
    <x:row r="225" ht="19" customHeight="1">
      <x:c r="A225" s="13" t="n">
        <x:v>221</x:v>
      </x:c>
      <x:c r="B225" s="12" t="n">
        <x:v>199.4</x:v>
      </x:c>
      <x:c r="C225" s="12" t="n">
        <x:f>B225-A225</x:f>
        <x:v>-21.599999999999994</x:v>
      </x:c>
      <x:c r="D225" s="11" t="str">
        <x:v>Malik Washington</x:v>
      </x:c>
      <x:c r="E225" s="11" t="str">
        <x:v>WR</x:v>
      </x:c>
      <x:c r="F225" s="11" t="str">
        <x:v>MIA</x:v>
      </x:c>
      <x:c r="G225" s="13" t="n">
        <x:v>6</x:v>
      </x:c>
      <x:c r="H225" s="12" t="n">
        <x:v>108.4</x:v>
      </x:c>
      <x:c r="I225" s="12" t="n">
        <x:v>131</x:v>
      </x:c>
      <x:c r="J225" s="12" t="n">
        <x:v>-22.6</x:v>
      </x:c>
      <x:c r="K225" s="12" t="n">
        <x:v>116.3</x:v>
      </x:c>
      <x:c r="L225" s="12" t="n">
        <x:v>12.3</x:v>
      </x:c>
      <x:c r="M225" s="12" t="n">
        <x:v>-51.9</x:v>
      </x:c>
      <x:c r="N225" s="11" t="str">
        <x:v>High</x:v>
      </x:c>
      <x:c r="O225" s="13" t="n">
        <x:v>25</x:v>
      </x:c>
      <x:c r="P225" s="13" t="n">
        <x:v>24</x:v>
      </x:c>
      <x:c r="Q225" s="11"/>
      <x:c r="R225" s="11" t="str">
        <x:v>Veteran model: 2025 form, prior-year trend and same team pass/run forecast; team pass volume #25, rush volume #24</x:v>
      </x:c>
    </x:row>
    <x:row r="226" ht="19" customHeight="1">
      <x:c r="A226" s="13" t="n">
        <x:v>222</x:v>
      </x:c>
      <x:c r="B226" s="12" t="n">
        <x:v>241.7</x:v>
      </x:c>
      <x:c r="C226" s="12" t="n">
        <x:f>B226-A226</x:f>
        <x:v>19.69999999999999</x:v>
      </x:c>
      <x:c r="D226" s="11" t="str">
        <x:v>Christian Kirk</x:v>
      </x:c>
      <x:c r="E226" s="11" t="str">
        <x:v>WR</x:v>
      </x:c>
      <x:c r="F226" s="11" t="str">
        <x:v>SF</x:v>
      </x:c>
      <x:c r="G226" s="13" t="n">
        <x:v>8</x:v>
      </x:c>
      <x:c r="H226" s="12" t="n">
        <x:v>81.3</x:v>
      </x:c>
      <x:c r="I226" s="12" t="n">
        <x:v>46</x:v>
      </x:c>
      <x:c r="J226" s="12" t="n">
        <x:v>35.3</x:v>
      </x:c>
      <x:c r="K226" s="12" t="n">
        <x:v>63.7</x:v>
      </x:c>
      <x:c r="L226" s="12" t="n">
        <x:v>9.1</x:v>
      </x:c>
      <x:c r="M226" s="12" t="n">
        <x:v>-52.9</x:v>
      </x:c>
      <x:c r="N226" s="11" t="str">
        <x:v>Medium</x:v>
      </x:c>
      <x:c r="O226" s="13" t="n">
        <x:v>16</x:v>
      </x:c>
      <x:c r="P226" s="13" t="n">
        <x:v>9</x:v>
      </x:c>
      <x:c r="Q226" s="11" t="str">
        <x:v>Ques</x:v>
      </x:c>
      <x:c r="R226" s="11" t="str">
        <x:v>Veteran model: 2025 form, prior-year trend and new team pass/run forecast; team pass volume #16, rush volume #9</x:v>
      </x:c>
    </x:row>
    <x:row r="227" ht="19" customHeight="1">
      <x:c r="A227" s="13" t="n">
        <x:v>223</x:v>
      </x:c>
      <x:c r="B227" s="12" t="n">
        <x:v>229.2</x:v>
      </x:c>
      <x:c r="C227" s="12" t="n">
        <x:f>B227-A227</x:f>
        <x:v>6.199999999999989</x:v>
      </x:c>
      <x:c r="D227" s="11" t="str">
        <x:v>Elijah Sarratt</x:v>
      </x:c>
      <x:c r="E227" s="11" t="str">
        <x:v>WR</x:v>
      </x:c>
      <x:c r="F227" s="11" t="str">
        <x:v>BAL</x:v>
      </x:c>
      <x:c r="G227" s="13" t="n">
        <x:v>13</x:v>
      </x:c>
      <x:c r="H227" s="12" t="n">
        <x:v>79.8</x:v>
      </x:c>
      <x:c r="I227" s="12" t="n">
        <x:v>61</x:v>
      </x:c>
      <x:c r="J227" s="12" t="n">
        <x:v>18.8</x:v>
      </x:c>
      <x:c r="K227" s="12" t="n">
        <x:v>65.7</x:v>
      </x:c>
      <x:c r="L227" s="12" t="n">
        <x:v>9</x:v>
      </x:c>
      <x:c r="M227" s="12" t="n">
        <x:v>-53.1</x:v>
      </x:c>
      <x:c r="N227" s="11" t="str">
        <x:v>Low</x:v>
      </x:c>
      <x:c r="O227" s="13" t="n">
        <x:v>32</x:v>
      </x:c>
      <x:c r="P227" s="13" t="n">
        <x:v>1</x:v>
      </x:c>
      <x:c r="Q227" s="11"/>
      <x:c r="R227" s="11" t="str">
        <x:v>Rookie model: pick 115, age and destination-team environment; team pass volume #32, rush volume #1</x:v>
      </x:c>
    </x:row>
    <x:row r="228" ht="19" customHeight="1">
      <x:c r="A228" s="13" t="n">
        <x:v>224</x:v>
      </x:c>
      <x:c r="B228" s="12" t="n">
        <x:v>144.6</x:v>
      </x:c>
      <x:c r="C228" s="12" t="n">
        <x:f>B228-A228</x:f>
        <x:v>-79.4</x:v>
      </x:c>
      <x:c r="D228" s="11" t="str">
        <x:v>Chris Rodriguez</x:v>
      </x:c>
      <x:c r="E228" s="11" t="str">
        <x:v>RB</x:v>
      </x:c>
      <x:c r="F228" s="11" t="str">
        <x:v>JAX</x:v>
      </x:c>
      <x:c r="G228" s="13" t="n">
        <x:v>7</x:v>
      </x:c>
      <x:c r="H228" s="12" t="n">
        <x:v>98.4</x:v>
      </x:c>
      <x:c r="I228" s="12" t="n">
        <x:v>133</x:v>
      </x:c>
      <x:c r="J228" s="12" t="n">
        <x:v>-34.6</x:v>
      </x:c>
      <x:c r="K228" s="12" t="n">
        <x:v>110.5</x:v>
      </x:c>
      <x:c r="L228" s="12" t="n">
        <x:v>11</x:v>
      </x:c>
      <x:c r="M228" s="12" t="n">
        <x:v>-53.5</x:v>
      </x:c>
      <x:c r="N228" s="11" t="str">
        <x:v>High</x:v>
      </x:c>
      <x:c r="O228" s="13" t="n">
        <x:v>11</x:v>
      </x:c>
      <x:c r="P228" s="13" t="n">
        <x:v>15</x:v>
      </x:c>
      <x:c r="Q228" s="11"/>
      <x:c r="R228" s="11" t="str">
        <x:v>Veteran model: 2025 form, prior-year trend and new team pass/run forecast; team pass volume #11, rush volume #15</x:v>
      </x:c>
    </x:row>
    <x:row r="229" ht="19" customHeight="1">
      <x:c r="A229" s="13" t="n">
        <x:v>225</x:v>
      </x:c>
      <x:c r="B229" s="12" t="n">
        <x:v>181.2</x:v>
      </x:c>
      <x:c r="C229" s="12" t="n">
        <x:f>B229-A229</x:f>
        <x:v>-43.80000000000001</x:v>
      </x:c>
      <x:c r="D229" s="11" t="str">
        <x:v>Tank Bigsby</x:v>
      </x:c>
      <x:c r="E229" s="11" t="str">
        <x:v>RB</x:v>
      </x:c>
      <x:c r="F229" s="11" t="str">
        <x:v>PHI</x:v>
      </x:c>
      <x:c r="G229" s="13" t="n">
        <x:v>10</x:v>
      </x:c>
      <x:c r="H229" s="12" t="n">
        <x:v>102.7</x:v>
      </x:c>
      <x:c r="I229" s="12" t="n">
        <x:v>65</x:v>
      </x:c>
      <x:c r="J229" s="12" t="n">
        <x:v>37.7</x:v>
      </x:c>
      <x:c r="K229" s="12" t="n">
        <x:v>89.5</x:v>
      </x:c>
      <x:c r="L229" s="12" t="n">
        <x:v>11.6</x:v>
      </x:c>
      <x:c r="M229" s="12" t="n">
        <x:v>-53.5</x:v>
      </x:c>
      <x:c r="N229" s="11" t="str">
        <x:v>High</x:v>
      </x:c>
      <x:c r="O229" s="13" t="n">
        <x:v>31</x:v>
      </x:c>
      <x:c r="P229" s="13" t="n">
        <x:v>2</x:v>
      </x:c>
      <x:c r="Q229" s="11"/>
      <x:c r="R229" s="11" t="str">
        <x:v>Veteran model: 2025 form, prior-year trend and same team pass/run forecast; team pass volume #31, rush volume #2</x:v>
      </x:c>
    </x:row>
    <x:row r="230" ht="19" customHeight="1">
      <x:c r="A230" s="13" t="n">
        <x:v>226</x:v>
      </x:c>
      <x:c r="B230" s="12" t="n">
        <x:v>236.5</x:v>
      </x:c>
      <x:c r="C230" s="12" t="n">
        <x:f>B230-A230</x:f>
        <x:v>10.5</x:v>
      </x:c>
      <x:c r="D230" s="11" t="str">
        <x:v>Tua Tagovailoa</x:v>
      </x:c>
      <x:c r="E230" s="11" t="str">
        <x:v>QB</x:v>
      </x:c>
      <x:c r="F230" s="11" t="str">
        <x:v>ATL</x:v>
      </x:c>
      <x:c r="G230" s="13" t="n">
        <x:v>11</x:v>
      </x:c>
      <x:c r="H230" s="12" t="n">
        <x:v>203.1</x:v>
      </x:c>
      <x:c r="I230" s="12" t="n">
        <x:v>138</x:v>
      </x:c>
      <x:c r="J230" s="12" t="n">
        <x:v>65.1</x:v>
      </x:c>
      <x:c r="K230" s="12" t="n">
        <x:v>180.3</x:v>
      </x:c>
      <x:c r="L230" s="12" t="n">
        <x:v>11.5</x:v>
      </x:c>
      <x:c r="M230" s="12" t="n">
        <x:v>-53.5</x:v>
      </x:c>
      <x:c r="N230" s="11" t="str">
        <x:v>High</x:v>
      </x:c>
      <x:c r="O230" s="13" t="n">
        <x:v>17</x:v>
      </x:c>
      <x:c r="P230" s="13" t="n">
        <x:v>5</x:v>
      </x:c>
      <x:c r="Q230" s="11"/>
      <x:c r="R230" s="11" t="str">
        <x:v>Veteran model: 2025 form, prior-year trend and new team pass/run forecast; team pass volume #17, rush volume #5</x:v>
      </x:c>
    </x:row>
    <x:row r="231" ht="19" customHeight="1">
      <x:c r="A231" s="13" t="n">
        <x:v>227</x:v>
      </x:c>
      <x:c r="B231" s="12" t="n">
        <x:v>240.6</x:v>
      </x:c>
      <x:c r="C231" s="12" t="n">
        <x:f>B231-A231</x:f>
        <x:v>13.599999999999994</x:v>
      </x:c>
      <x:c r="D231" s="11" t="str">
        <x:v>Kaytron Allen</x:v>
      </x:c>
      <x:c r="E231" s="11" t="str">
        <x:v>RB</x:v>
      </x:c>
      <x:c r="F231" s="11" t="str">
        <x:v>WAS</x:v>
      </x:c>
      <x:c r="G231" s="13" t="n">
        <x:v>7</x:v>
      </x:c>
      <x:c r="H231" s="12" t="n">
        <x:v>78.4</x:v>
      </x:c>
      <x:c r="I231" s="12" t="n">
        <x:v>46</x:v>
      </x:c>
      <x:c r="J231" s="12" t="n">
        <x:v>32.4</x:v>
      </x:c>
      <x:c r="K231" s="12" t="n">
        <x:v>54.1</x:v>
      </x:c>
      <x:c r="L231" s="12" t="n">
        <x:v>8.9</x:v>
      </x:c>
      <x:c r="M231" s="12" t="n">
        <x:v>-53.8</x:v>
      </x:c>
      <x:c r="N231" s="11" t="str">
        <x:v>Low</x:v>
      </x:c>
      <x:c r="O231" s="13" t="n">
        <x:v>29</x:v>
      </x:c>
      <x:c r="P231" s="13" t="n">
        <x:v>8</x:v>
      </x:c>
      <x:c r="Q231" s="11"/>
      <x:c r="R231" s="11" t="str">
        <x:v>Rookie model: pick 187, age and destination-team environment; team pass volume #29, rush volume #8</x:v>
      </x:c>
    </x:row>
    <x:row r="232" ht="19" customHeight="1">
      <x:c r="A232" s="13" t="n">
        <x:v>228</x:v>
      </x:c>
      <x:c r="B232" s="12" t="n">
        <x:v>146.1</x:v>
      </x:c>
      <x:c r="C232" s="12" t="n">
        <x:f>B232-A232</x:f>
        <x:v>-81.9</x:v>
      </x:c>
      <x:c r="D232" s="11" t="str">
        <x:v>Tyler Allgeier</x:v>
      </x:c>
      <x:c r="E232" s="11" t="str">
        <x:v>RB</x:v>
      </x:c>
      <x:c r="F232" s="11" t="str">
        <x:v>ARI</x:v>
      </x:c>
      <x:c r="G232" s="13" t="n">
        <x:v>14</x:v>
      </x:c>
      <x:c r="H232" s="12" t="n">
        <x:v>102.7</x:v>
      </x:c>
      <x:c r="I232" s="12" t="n">
        <x:v>69</x:v>
      </x:c>
      <x:c r="J232" s="12" t="n">
        <x:v>33.7</x:v>
      </x:c>
      <x:c r="K232" s="12" t="n">
        <x:v>90.9</x:v>
      </x:c>
      <x:c r="L232" s="12" t="n">
        <x:v>11.9</x:v>
      </x:c>
      <x:c r="M232" s="12" t="n">
        <x:v>-54.9</x:v>
      </x:c>
      <x:c r="N232" s="11" t="str">
        <x:v>High</x:v>
      </x:c>
      <x:c r="O232" s="13" t="n">
        <x:v>3</x:v>
      </x:c>
      <x:c r="P232" s="13" t="n">
        <x:v>29</x:v>
      </x:c>
      <x:c r="Q232" s="11"/>
      <x:c r="R232" s="11" t="str">
        <x:v>Veteran model: 2025 form, prior-year trend and new team pass/run forecast; team pass volume #3, rush volume #29</x:v>
      </x:c>
    </x:row>
    <x:row r="233" ht="19" customHeight="1">
      <x:c r="A233" s="13" t="n">
        <x:v>229</x:v>
      </x:c>
      <x:c r="B233" s="12" t="n">
        <x:v>212.4</x:v>
      </x:c>
      <x:c r="C233" s="12" t="n">
        <x:f>B233-A233</x:f>
        <x:v>-16.599999999999994</x:v>
      </x:c>
      <x:c r="D233" s="11" t="str">
        <x:v>Isaac TeSlaa</x:v>
      </x:c>
      <x:c r="E233" s="11" t="str">
        <x:v>WR</x:v>
      </x:c>
      <x:c r="F233" s="11" t="str">
        <x:v>DET</x:v>
      </x:c>
      <x:c r="G233" s="13" t="n">
        <x:v>6</x:v>
      </x:c>
      <x:c r="H233" s="12" t="n">
        <x:v>98.3</x:v>
      </x:c>
      <x:c r="I233" s="12" t="n">
        <x:v>87</x:v>
      </x:c>
      <x:c r="J233" s="12" t="n">
        <x:v>11.3</x:v>
      </x:c>
      <x:c r="K233" s="12" t="n">
        <x:v>92.7</x:v>
      </x:c>
      <x:c r="L233" s="12" t="n">
        <x:v>11.4</x:v>
      </x:c>
      <x:c r="M233" s="12" t="n">
        <x:v>-54.9</x:v>
      </x:c>
      <x:c r="N233" s="11" t="str">
        <x:v>Medium</x:v>
      </x:c>
      <x:c r="O233" s="13" t="n">
        <x:v>10</x:v>
      </x:c>
      <x:c r="P233" s="13" t="n">
        <x:v>7</x:v>
      </x:c>
      <x:c r="Q233" s="11"/>
      <x:c r="R233" s="11" t="str">
        <x:v>Veteran model: 2025 form, prior-year trend and same team pass/run forecast; team pass volume #10, rush volume #7</x:v>
      </x:c>
    </x:row>
    <x:row r="234" ht="19" customHeight="1">
      <x:c r="A234" s="13" t="n">
        <x:v>230</x:v>
      </x:c>
      <x:c r="B234" s="12" t="n">
        <x:v>183.9</x:v>
      </x:c>
      <x:c r="C234" s="12" t="n">
        <x:f>B234-A234</x:f>
        <x:v>-46.099999999999994</x:v>
      </x:c>
      <x:c r="D234" s="11" t="str">
        <x:v>Jalen Nailor</x:v>
      </x:c>
      <x:c r="E234" s="11" t="str">
        <x:v>WR</x:v>
      </x:c>
      <x:c r="F234" s="11" t="str">
        <x:v>LV</x:v>
      </x:c>
      <x:c r="G234" s="13" t="n">
        <x:v>13</x:v>
      </x:c>
      <x:c r="H234" s="12" t="n">
        <x:v>103.4</x:v>
      </x:c>
      <x:c r="I234" s="12" t="n">
        <x:v>131</x:v>
      </x:c>
      <x:c r="J234" s="12" t="n">
        <x:v>-27.6</x:v>
      </x:c>
      <x:c r="K234" s="12" t="n">
        <x:v>113.1</x:v>
      </x:c>
      <x:c r="L234" s="12" t="n">
        <x:v>12.7</x:v>
      </x:c>
      <x:c r="M234" s="12" t="n">
        <x:v>-57.3</x:v>
      </x:c>
      <x:c r="N234" s="11" t="str">
        <x:v>High</x:v>
      </x:c>
      <x:c r="O234" s="13" t="n">
        <x:v>15</x:v>
      </x:c>
      <x:c r="P234" s="13" t="n">
        <x:v>32</x:v>
      </x:c>
      <x:c r="Q234" s="11"/>
      <x:c r="R234" s="11" t="str">
        <x:v>Veteran model: 2025 form, prior-year trend and new team pass/run forecast; team pass volume #15, rush volume #32</x:v>
      </x:c>
    </x:row>
    <x:row r="235" ht="19" customHeight="1">
      <x:c r="A235" s="13" t="n">
        <x:v>231</x:v>
      </x:c>
      <x:c r="B235" s="12" t="n">
        <x:v>222.1</x:v>
      </x:c>
      <x:c r="C235" s="12" t="n">
        <x:f>B235-A235</x:f>
        <x:v>-8.900000000000006</x:v>
      </x:c>
      <x:c r="D235" s="11" t="str">
        <x:v>Kyle Williams</x:v>
      </x:c>
      <x:c r="E235" s="11" t="str">
        <x:v>WR</x:v>
      </x:c>
      <x:c r="F235" s="11" t="str">
        <x:v>NE</x:v>
      </x:c>
      <x:c r="G235" s="13" t="n">
        <x:v>11</x:v>
      </x:c>
      <x:c r="H235" s="12" t="n">
        <x:v>94.2</x:v>
      </x:c>
      <x:c r="I235" s="12" t="n">
        <x:v>31</x:v>
      </x:c>
      <x:c r="J235" s="12" t="n">
        <x:v>63.2</x:v>
      </x:c>
      <x:c r="K235" s="12" t="n">
        <x:v>62.6</x:v>
      </x:c>
      <x:c r="L235" s="12" t="n">
        <x:v>11.4</x:v>
      </x:c>
      <x:c r="M235" s="12" t="n">
        <x:v>-57.6</x:v>
      </x:c>
      <x:c r="N235" s="11" t="str">
        <x:v>Medium</x:v>
      </x:c>
      <x:c r="O235" s="13" t="n">
        <x:v>27</x:v>
      </x:c>
      <x:c r="P235" s="13" t="n">
        <x:v>12</x:v>
      </x:c>
      <x:c r="Q235" s="11"/>
      <x:c r="R235" s="11" t="str">
        <x:v>Veteran model: 2025 form, prior-year trend and same team pass/run forecast; team pass volume #27, rush volume #12</x:v>
      </x:c>
    </x:row>
    <x:row r="236" ht="19" customHeight="1">
      <x:c r="A236" s="13" t="n">
        <x:v>232</x:v>
      </x:c>
      <x:c r="B236" s="12" t="n">
        <x:v>150.1</x:v>
      </x:c>
      <x:c r="C236" s="12" t="n">
        <x:f>B236-A236</x:f>
        <x:v>-81.9</x:v>
      </x:c>
      <x:c r="D236" s="11" t="str">
        <x:v>Brian Robinson</x:v>
      </x:c>
      <x:c r="E236" s="11" t="str">
        <x:v>RB</x:v>
      </x:c>
      <x:c r="F236" s="11" t="str">
        <x:v>ATL</x:v>
      </x:c>
      <x:c r="G236" s="13" t="n">
        <x:v>11</x:v>
      </x:c>
      <x:c r="H236" s="12" t="n">
        <x:v>91.4</x:v>
      </x:c>
      <x:c r="I236" s="12" t="n">
        <x:v>70</x:v>
      </x:c>
      <x:c r="J236" s="12" t="n">
        <x:v>21.4</x:v>
      </x:c>
      <x:c r="K236" s="12" t="n">
        <x:v>83.9</x:v>
      </x:c>
      <x:c r="L236" s="12" t="n">
        <x:v>11.7</x:v>
      </x:c>
      <x:c r="M236" s="12" t="n">
        <x:v>-61.7</x:v>
      </x:c>
      <x:c r="N236" s="11" t="str">
        <x:v>High</x:v>
      </x:c>
      <x:c r="O236" s="13" t="n">
        <x:v>17</x:v>
      </x:c>
      <x:c r="P236" s="13" t="n">
        <x:v>5</x:v>
      </x:c>
      <x:c r="Q236" s="11"/>
      <x:c r="R236" s="11" t="str">
        <x:v>Veteran model: 2025 form, prior-year trend and new team pass/run forecast; team pass volume #17, rush volume #5</x:v>
      </x:c>
    </x:row>
    <x:row r="237" ht="19" customHeight="1">
      <x:c r="A237" s="13" t="n">
        <x:v>233</x:v>
      </x:c>
      <x:c r="B237" s="12" t="n">
        <x:v>233.3</x:v>
      </x:c>
      <x:c r="C237" s="12" t="n">
        <x:f>B237-A237</x:f>
        <x:v>0.30000000000001137</x:v>
      </x:c>
      <x:c r="D237" s="11" t="str">
        <x:v>Ray Davis</x:v>
      </x:c>
      <x:c r="E237" s="11" t="str">
        <x:v>RB</x:v>
      </x:c>
      <x:c r="F237" s="11" t="str">
        <x:v>BUF</x:v>
      </x:c>
      <x:c r="G237" s="13" t="n">
        <x:v>7</x:v>
      </x:c>
      <x:c r="H237" s="12" t="n">
        <x:v>91.4</x:v>
      </x:c>
      <x:c r="I237" s="12" t="n">
        <x:v>65</x:v>
      </x:c>
      <x:c r="J237" s="12" t="n">
        <x:v>26.4</x:v>
      </x:c>
      <x:c r="K237" s="12" t="n">
        <x:v>82.1</x:v>
      </x:c>
      <x:c r="L237" s="12" t="n">
        <x:v>12.1</x:v>
      </x:c>
      <x:c r="M237" s="12" t="n">
        <x:v>-63.8</x:v>
      </x:c>
      <x:c r="N237" s="11" t="str">
        <x:v>High</x:v>
      </x:c>
      <x:c r="O237" s="13" t="n">
        <x:v>28</x:v>
      </x:c>
      <x:c r="P237" s="13" t="n">
        <x:v>3</x:v>
      </x:c>
      <x:c r="Q237" s="11"/>
      <x:c r="R237" s="11" t="str">
        <x:v>Veteran model: 2025 form, prior-year trend and same team pass/run forecast; team pass volume #28, rush volume #3</x:v>
      </x:c>
    </x:row>
    <x:row r="238" ht="19" customHeight="1">
      <x:c r="A238" s="13" t="n">
        <x:v>234</x:v>
      </x:c>
      <x:c r="B238" s="12" t="n">
        <x:v>180.4</x:v>
      </x:c>
      <x:c r="C238" s="12" t="n">
        <x:f>B238-A238</x:f>
        <x:v>-53.599999999999994</x:v>
      </x:c>
      <x:c r="D238" s="11" t="str">
        <x:v>Keaton Mitchell</x:v>
      </x:c>
      <x:c r="E238" s="11" t="str">
        <x:v>RB</x:v>
      </x:c>
      <x:c r="F238" s="11" t="str">
        <x:v>LAC</x:v>
      </x:c>
      <x:c r="G238" s="13" t="n">
        <x:v>7</x:v>
      </x:c>
      <x:c r="H238" s="12" t="n">
        <x:v>70.1</x:v>
      </x:c>
      <x:c r="I238" s="12" t="n">
        <x:v>97</x:v>
      </x:c>
      <x:c r="J238" s="12" t="n">
        <x:v>-26.9</x:v>
      </x:c>
      <x:c r="K238" s="12" t="n">
        <x:v>79.5</x:v>
      </x:c>
      <x:c r="L238" s="12" t="n">
        <x:v>10.8</x:v>
      </x:c>
      <x:c r="M238" s="12" t="n">
        <x:v>-70.5</x:v>
      </x:c>
      <x:c r="N238" s="11" t="str">
        <x:v>High</x:v>
      </x:c>
      <x:c r="O238" s="13" t="n">
        <x:v>14</x:v>
      </x:c>
      <x:c r="P238" s="13" t="n">
        <x:v>16</x:v>
      </x:c>
      <x:c r="Q238" s="11"/>
      <x:c r="R238" s="11" t="str">
        <x:v>Veteran model: 2025 form, prior-year trend and new team pass/run forecast; team pass volume #14, rush volume #16</x:v>
      </x:c>
    </x:row>
    <x:row r="239" ht="19" customHeight="1">
      <x:c r="A239" s="13" t="n">
        <x:v>235</x:v>
      </x:c>
      <x:c r="B239" s="12" t="n">
        <x:v>240.6</x:v>
      </x:c>
      <x:c r="C239" s="12" t="n">
        <x:f>B239-A239</x:f>
        <x:v>5.599999999999994</x:v>
      </x:c>
      <x:c r="D239" s="11" t="str">
        <x:v>Jarquez Hunter</x:v>
      </x:c>
      <x:c r="E239" s="11" t="str">
        <x:v>RB</x:v>
      </x:c>
      <x:c r="F239" s="11" t="str">
        <x:v>LAR</x:v>
      </x:c>
      <x:c r="G239" s="13" t="n">
        <x:v>11</x:v>
      </x:c>
      <x:c r="H239" s="12" t="n">
        <x:v>10</x:v>
      </x:c>
      <x:c r="I239" s="12" t="n">
        <x:v>10</x:v>
      </x:c>
      <x:c r="J239" s="12" t="n">
        <x:v>0</x:v>
      </x:c>
      <x:c r="K239" s="12" t="n">
        <x:v>10</x:v>
      </x:c>
      <x:c r="L239" s="12" t="n">
        <x:v>17</x:v>
      </x:c>
      <x:c r="M239" s="12" t="n">
        <x:v>-171.1</x:v>
      </x:c>
      <x:c r="N239" s="11" t="str">
        <x:v>Low</x:v>
      </x:c>
      <x:c r="O239" s="13" t="n">
        <x:v>7</x:v>
      </x:c>
      <x:c r="P239" s="13" t="n">
        <x:v>14</x:v>
      </x:c>
      <x:c r="Q239" s="11"/>
      <x:c r="R239" s="11" t="str">
        <x:v>No reliable NFLverse player match; Sleeper only; team pass volume #7, rush volume #14</x:v>
      </x:c>
    </x:row>
  </x:sheetData>
  <x:mergeCells>
    <x:mergeCell ref="A1:R1"/>
    <x:mergeCell ref="A2:R2"/>
  </x:mergeCells>
  <x:conditionalFormatting sqref="C5:C239">
    <x:cfRule type="colorScale" priority="1">
      <x:colorScale>
        <x:cfvo type="min"/>
        <x:cfvo type="percentile" val="50"/>
        <x:cfvo type="max"/>
        <x:color rgb="FFE67C73"/>
        <x:color rgb="FFFFF0C2"/>
        <x:color rgb="FF63BE7B"/>
      </x:colorScale>
    </x:cfRule>
  </x:conditionalFormatting>
  <x:conditionalFormatting sqref="J5:J239">
    <x:cfRule type="colorScale" priority="2">
      <x:colorScale>
        <x:cfvo type="min"/>
        <x:cfvo type="percentile" val="50"/>
        <x:cfvo type="max"/>
        <x:color rgb="FFE67C73"/>
        <x:color rgb="FFFFF0C2"/>
        <x:color rgb="FF63BE7B"/>
      </x:colorScale>
    </x:cfRule>
  </x:conditionalFormatting>
  <x:conditionalFormatting sqref="M5:M239">
    <x:cfRule type="dataBar" priority="3">
      <x:dataBar>
        <x:cfvo type="min"/>
        <x:cfvo type="max"/>
        <x:color rgb="FF4B7BEC"/>
      </x:dataBar>
      <x:extLst>
        <x:ext xmlns:x14="http://schemas.microsoft.com/office/spreadsheetml/2009/9/main" uri="{B025F937-C7B1-47D3-B67F-A62EFF666E3E}">
          <x14:id>{2889E43F-3E33-8292-B1A9-F7D7CD531BF8}</x14:id>
        </x:ext>
      </x:extLst>
    </x:cfRule>
  </x:conditionalFormatting>
  <x:conditionalFormatting sqref="E5:E239">
    <x:cfRule type="containsText" dxfId="18" priority="4" operator="containsText" text="QB"/>
    <x:cfRule type="containsText" dxfId="19" priority="5" operator="containsText" text="RB"/>
    <x:cfRule type="containsText" dxfId="20" priority="6" operator="containsText" text="WR"/>
    <x:cfRule type="containsText" dxfId="21" priority="7" operator="containsText" text="TE"/>
    <x:cfRule type="containsText" dxfId="22" priority="8" operator="containsText" text="K"/>
    <x:cfRule type="containsText" dxfId="23" priority="9" operator="containsText" text="DEF"/>
  </x:conditionalFormatting>
  <x:conditionalFormatting sqref="N5:N239">
    <x:cfRule type="containsText" dxfId="24" priority="10" operator="containsText" text="High"/>
    <x:cfRule type="containsText" dxfId="25" priority="11" operator="containsText" text="Medium"/>
    <x:cfRule type="containsText" dxfId="26" priority="12" operator="containsText" text="Low"/>
  </x:conditionalFormatting>
  <x:conditionalFormatting sqref="Q5:Q239">
    <x:cfRule type="notContainsBlanks" dxfId="27" priority="13"/>
  </x:conditionalFormatting>
  <x:pageMargins left="0.7" right="0.7" top="0.75" bottom="0.75" header="0.3" footer="0.3"/>
  <x:tableParts count="1">
    <x:tablePart xmlns:r="http://schemas.openxmlformats.org/officeDocument/2006/relationships" r:id="Rc75322a9f6f34bd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2889E43F-3E33-8292-B1A9-F7D7CD531BF8}">
            <x14:dataBar gradient="1">
              <x14:cfvo type="min"/>
              <x14:cfvo type="max"/>
              <x14:fillColor rgb="FF4B7BEC"/>
            </x14:dataBar>
          </x14:cfRule>
          <xm:sqref>M5:M239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9" hidden="0" customWidth="1"/>
    <x:col min="4" max="4" width="24" hidden="0" customWidth="1"/>
    <x:col min="5" max="5" width="7" hidden="0" customWidth="1"/>
    <x:col min="6" max="6" width="8" hidden="0" customWidth="1"/>
    <x:col min="7" max="7" width="7" hidden="0" customWidth="1"/>
    <x:col min="8" max="8" width="10" hidden="0" customWidth="1"/>
    <x:col min="9" max="9" width="10" hidden="0" customWidth="1"/>
    <x:col min="10" max="10" width="10" hidden="0" customWidth="1"/>
    <x:col min="11" max="11" width="11" hidden="0" customWidth="1"/>
    <x:col min="12" max="12" width="8" hidden="0" customWidth="1"/>
    <x:col min="13" max="13" width="9" hidden="0" customWidth="1"/>
    <x:col min="14" max="14" width="11" hidden="0" customWidth="1"/>
    <x:col min="15" max="15" width="10" hidden="0" customWidth="1"/>
    <x:col min="16" max="16" width="10" hidden="0" customWidth="1"/>
    <x:col min="17" max="17" width="10" hidden="0" customWidth="1"/>
    <x:col min="18" max="18" width="52" hidden="0" customWidth="1"/>
  </x:cols>
  <x:sheetData>
    <x:row r="1" ht="32" customHeight="1">
      <x:c r="A1" s="3" t="str">
        <x:v>DECISION RANKINGS</x:v>
      </x:c>
    </x:row>
    <x:row r="2" ht="26" customHeight="1">
      <x:c r="A2" s="7" t="str">
        <x:v>Independent forecast blended with Sleeper according to evidence confidence, then valued for this league</x:v>
      </x:c>
    </x:row>
    <x:row r="4" ht="25" customHeight="1">
      <x:c r="A4" s="11" t="str">
        <x:v>Rank</x:v>
      </x:c>
      <x:c r="B4" s="11" t="str">
        <x:v>ADP</x:v>
      </x:c>
      <x:c r="C4" s="11" t="str">
        <x:v>Gap</x:v>
      </x:c>
      <x:c r="D4" s="11" t="str">
        <x:v>Player</x:v>
      </x:c>
      <x:c r="E4" s="11" t="str">
        <x:v>Pos</x:v>
      </x:c>
      <x:c r="F4" s="11" t="str">
        <x:v>Team</x:v>
      </x:c>
      <x:c r="G4" s="11" t="str">
        <x:v>Bye</x:v>
      </x:c>
      <x:c r="H4" s="11" t="str">
        <x:v>Our 17G</x:v>
      </x:c>
      <x:c r="I4" s="11" t="str">
        <x:v>Sleeper</x:v>
      </x:c>
      <x:c r="J4" s="11" t="str">
        <x:v>Proj Gap</x:v>
      </x:c>
      <x:c r="K4" s="11" t="str">
        <x:v>Decision Pts</x:v>
      </x:c>
      <x:c r="L4" s="11" t="str">
        <x:v>Exp G</x:v>
      </x:c>
      <x:c r="M4" s="11" t="str">
        <x:v>VBD</x:v>
      </x:c>
      <x:c r="N4" s="11" t="str">
        <x:v>Confidence</x:v>
      </x:c>
      <x:c r="O4" s="11" t="str">
        <x:v>Pass Rank</x:v>
      </x:c>
      <x:c r="P4" s="11" t="str">
        <x:v>Rush Rank</x:v>
      </x:c>
      <x:c r="Q4" s="11" t="str">
        <x:v>Injury</x:v>
      </x:c>
      <x:c r="R4" s="11" t="str">
        <x:v>Why</x:v>
      </x:c>
    </x:row>
    <x:row r="5" ht="19" customHeight="1">
      <x:c r="A5" s="13" t="n">
        <x:v>1</x:v>
      </x:c>
      <x:c r="B5" s="12" t="n">
        <x:v>2.6</x:v>
      </x:c>
      <x:c r="C5" s="12" t="n">
        <x:f>B5-A5</x:f>
        <x:v>1.6</x:v>
      </x:c>
      <x:c r="D5" s="11" t="str">
        <x:v>Bijan Robinson</x:v>
      </x:c>
      <x:c r="E5" s="11" t="str">
        <x:v>RB</x:v>
      </x:c>
      <x:c r="F5" s="11" t="str">
        <x:v>ATL</x:v>
      </x:c>
      <x:c r="G5" s="13" t="n">
        <x:v>11</x:v>
      </x:c>
      <x:c r="H5" s="12" t="n">
        <x:v>335.4</x:v>
      </x:c>
      <x:c r="I5" s="12" t="n">
        <x:v>325</x:v>
      </x:c>
      <x:c r="J5" s="12" t="n">
        <x:v>10.4</x:v>
      </x:c>
      <x:c r="K5" s="12" t="n">
        <x:v>331.7</x:v>
      </x:c>
      <x:c r="L5" s="12" t="n">
        <x:v>16</x:v>
      </x:c>
      <x:c r="M5" s="12" t="n">
        <x:v>145</x:v>
      </x:c>
      <x:c r="N5" s="11" t="str">
        <x:v>High</x:v>
      </x:c>
      <x:c r="O5" s="13" t="n">
        <x:v>17</x:v>
      </x:c>
      <x:c r="P5" s="13" t="n">
        <x:v>5</x:v>
      </x:c>
      <x:c r="Q5" s="11"/>
      <x:c r="R5" s="11" t="str">
        <x:v>Veteran model: 2025 form, prior-year trend and same team pass/run forecast; team pass volume #17, rush volume #5</x:v>
      </x:c>
    </x:row>
    <x:row r="6" ht="19" customHeight="1">
      <x:c r="A6" s="13" t="n">
        <x:v>2</x:v>
      </x:c>
      <x:c r="B6" s="12" t="n">
        <x:v>4.4</x:v>
      </x:c>
      <x:c r="C6" s="12" t="n">
        <x:f>B6-A6</x:f>
        <x:v>2.4000000000000004</x:v>
      </x:c>
      <x:c r="D6" s="11" t="str">
        <x:v>Puka Nacua</x:v>
      </x:c>
      <x:c r="E6" s="11" t="str">
        <x:v>WR</x:v>
      </x:c>
      <x:c r="F6" s="11" t="str">
        <x:v>LAR</x:v>
      </x:c>
      <x:c r="G6" s="13" t="n">
        <x:v>11</x:v>
      </x:c>
      <x:c r="H6" s="12" t="n">
        <x:v>341.2</x:v>
      </x:c>
      <x:c r="I6" s="12" t="n">
        <x:v>313</x:v>
      </x:c>
      <x:c r="J6" s="12" t="n">
        <x:v>28.2</x:v>
      </x:c>
      <x:c r="K6" s="12" t="n">
        <x:v>331.3</x:v>
      </x:c>
      <x:c r="L6" s="12" t="n">
        <x:v>16.2</x:v>
      </x:c>
      <x:c r="M6" s="12" t="n">
        <x:v>142.5</x:v>
      </x:c>
      <x:c r="N6" s="11" t="str">
        <x:v>High</x:v>
      </x:c>
      <x:c r="O6" s="13" t="n">
        <x:v>7</x:v>
      </x:c>
      <x:c r="P6" s="13" t="n">
        <x:v>14</x:v>
      </x:c>
      <x:c r="Q6" s="11" t="str">
        <x:v>Ques</x:v>
      </x:c>
      <x:c r="R6" s="11" t="str">
        <x:v>Veteran model: 2025 form, prior-year trend and same team pass/run forecast; team pass volume #7, rush volume #14</x:v>
      </x:c>
    </x:row>
    <x:row r="7" ht="19" customHeight="1">
      <x:c r="A7" s="13" t="n">
        <x:v>3</x:v>
      </x:c>
      <x:c r="B7" s="12" t="n">
        <x:v>1.1</x:v>
      </x:c>
      <x:c r="C7" s="12" t="n">
        <x:f>B7-A7</x:f>
        <x:v>-1.9</x:v>
      </x:c>
      <x:c r="D7" s="11" t="str">
        <x:v>Jahmyr Gibbs</x:v>
      </x:c>
      <x:c r="E7" s="11" t="str">
        <x:v>RB</x:v>
      </x:c>
      <x:c r="F7" s="11" t="str">
        <x:v>DET</x:v>
      </x:c>
      <x:c r="G7" s="13" t="n">
        <x:v>6</x:v>
      </x:c>
      <x:c r="H7" s="12" t="n">
        <x:v>312.1</x:v>
      </x:c>
      <x:c r="I7" s="12" t="n">
        <x:v>331</x:v>
      </x:c>
      <x:c r="J7" s="12" t="n">
        <x:v>-18.9</x:v>
      </x:c>
      <x:c r="K7" s="12" t="n">
        <x:v>318.7</x:v>
      </x:c>
      <x:c r="L7" s="12" t="n">
        <x:v>15.8</x:v>
      </x:c>
      <x:c r="M7" s="12" t="n">
        <x:v>131.1</x:v>
      </x:c>
      <x:c r="N7" s="11" t="str">
        <x:v>High</x:v>
      </x:c>
      <x:c r="O7" s="13" t="n">
        <x:v>10</x:v>
      </x:c>
      <x:c r="P7" s="13" t="n">
        <x:v>7</x:v>
      </x:c>
      <x:c r="Q7" s="11"/>
      <x:c r="R7" s="11" t="str">
        <x:v>Veteran model: 2025 form, prior-year trend and same team pass/run forecast; team pass volume #10, rush volume #7</x:v>
      </x:c>
    </x:row>
    <x:row r="8" ht="19" customHeight="1">
      <x:c r="A8" s="13" t="n">
        <x:v>4</x:v>
      </x:c>
      <x:c r="B8" s="12" t="n">
        <x:v>6.1</x:v>
      </x:c>
      <x:c r="C8" s="12" t="n">
        <x:f>B8-A8</x:f>
        <x:v>2.0999999999999996</x:v>
      </x:c>
      <x:c r="D8" s="11" t="str">
        <x:v>Jaxon Smith-Njigba</x:v>
      </x:c>
      <x:c r="E8" s="11" t="str">
        <x:v>WR</x:v>
      </x:c>
      <x:c r="F8" s="11" t="str">
        <x:v>SEA</x:v>
      </x:c>
      <x:c r="G8" s="13" t="n">
        <x:v>11</x:v>
      </x:c>
      <x:c r="H8" s="12" t="n">
        <x:v>335.5</x:v>
      </x:c>
      <x:c r="I8" s="12" t="n">
        <x:v>285</x:v>
      </x:c>
      <x:c r="J8" s="12" t="n">
        <x:v>50.5</x:v>
      </x:c>
      <x:c r="K8" s="12" t="n">
        <x:v>317.8</x:v>
      </x:c>
      <x:c r="L8" s="12" t="n">
        <x:v>16.2</x:v>
      </x:c>
      <x:c r="M8" s="12" t="n">
        <x:v>129.6</x:v>
      </x:c>
      <x:c r="N8" s="11" t="str">
        <x:v>High</x:v>
      </x:c>
      <x:c r="O8" s="13" t="n">
        <x:v>23</x:v>
      </x:c>
      <x:c r="P8" s="13" t="n">
        <x:v>21</x:v>
      </x:c>
      <x:c r="Q8" s="11"/>
      <x:c r="R8" s="11" t="str">
        <x:v>Veteran model: 2025 form, prior-year trend and same team pass/run forecast; team pass volume #23, rush volume #21</x:v>
      </x:c>
    </x:row>
    <x:row r="9" ht="19" customHeight="1">
      <x:c r="A9" s="13" t="n">
        <x:v>5</x:v>
      </x:c>
      <x:c r="B9" s="12" t="n">
        <x:v>3.8</x:v>
      </x:c>
      <x:c r="C9" s="12" t="n">
        <x:f>B9-A9</x:f>
        <x:v>-1.2000000000000002</x:v>
      </x:c>
      <x:c r="D9" s="11" t="str">
        <x:v>Ja'Marr Chase</x:v>
      </x:c>
      <x:c r="E9" s="11" t="str">
        <x:v>WR</x:v>
      </x:c>
      <x:c r="F9" s="11" t="str">
        <x:v>CIN</x:v>
      </x:c>
      <x:c r="G9" s="13" t="n">
        <x:v>6</x:v>
      </x:c>
      <x:c r="H9" s="12" t="n">
        <x:v>327.5</x:v>
      </x:c>
      <x:c r="I9" s="12" t="n">
        <x:v>311</x:v>
      </x:c>
      <x:c r="J9" s="12" t="n">
        <x:v>16.5</x:v>
      </x:c>
      <x:c r="K9" s="12" t="n">
        <x:v>321.7</x:v>
      </x:c>
      <x:c r="L9" s="12" t="n">
        <x:v>15.2</x:v>
      </x:c>
      <x:c r="M9" s="12" t="n">
        <x:v>125.1</x:v>
      </x:c>
      <x:c r="N9" s="11" t="str">
        <x:v>High</x:v>
      </x:c>
      <x:c r="O9" s="13" t="n">
        <x:v>1</x:v>
      </x:c>
      <x:c r="P9" s="13" t="n">
        <x:v>31</x:v>
      </x:c>
      <x:c r="Q9" s="11"/>
      <x:c r="R9" s="11" t="str">
        <x:v>Veteran model: 2025 form, prior-year trend and same team pass/run forecast; team pass volume #1, rush volume #31</x:v>
      </x:c>
    </x:row>
    <x:row r="10" ht="19" customHeight="1">
      <x:c r="A10" s="13" t="n">
        <x:v>6</x:v>
      </x:c>
      <x:c r="B10" s="12" t="n">
        <x:v>5.5</x:v>
      </x:c>
      <x:c r="C10" s="12" t="n">
        <x:f>B10-A10</x:f>
        <x:v>-0.5</x:v>
      </x:c>
      <x:c r="D10" s="11" t="str">
        <x:v>Christian McCaffrey</x:v>
      </x:c>
      <x:c r="E10" s="11" t="str">
        <x:v>RB</x:v>
      </x:c>
      <x:c r="F10" s="11" t="str">
        <x:v>SF</x:v>
      </x:c>
      <x:c r="G10" s="13" t="n">
        <x:v>8</x:v>
      </x:c>
      <x:c r="H10" s="12" t="n">
        <x:v>326</x:v>
      </x:c>
      <x:c r="I10" s="12" t="n">
        <x:v>291</x:v>
      </x:c>
      <x:c r="J10" s="12" t="n">
        <x:v>35</x:v>
      </x:c>
      <x:c r="K10" s="12" t="n">
        <x:v>313.7</x:v>
      </x:c>
      <x:c r="L10" s="12" t="n">
        <x:v>13.8</x:v>
      </x:c>
      <x:c r="M10" s="12" t="n">
        <x:v>110.5</x:v>
      </x:c>
      <x:c r="N10" s="11" t="str">
        <x:v>High</x:v>
      </x:c>
      <x:c r="O10" s="13" t="n">
        <x:v>16</x:v>
      </x:c>
      <x:c r="P10" s="13" t="n">
        <x:v>9</x:v>
      </x:c>
      <x:c r="Q10" s="11" t="str">
        <x:v>Ques</x:v>
      </x:c>
      <x:c r="R10" s="11" t="str">
        <x:v>Veteran model: 2025 form, prior-year trend and same team pass/run forecast; team pass volume #16, rush volume #9</x:v>
      </x:c>
    </x:row>
    <x:row r="11" ht="19" customHeight="1">
      <x:c r="A11" s="13" t="n">
        <x:v>7</x:v>
      </x:c>
      <x:c r="B11" s="12" t="n">
        <x:v>8.4</x:v>
      </x:c>
      <x:c r="C11" s="12" t="n">
        <x:f>B11-A11</x:f>
        <x:v>1.4000000000000004</x:v>
      </x:c>
      <x:c r="D11" s="11" t="str">
        <x:v>Amon-Ra St. Brown</x:v>
      </x:c>
      <x:c r="E11" s="11" t="str">
        <x:v>WR</x:v>
      </x:c>
      <x:c r="F11" s="11" t="str">
        <x:v>DET</x:v>
      </x:c>
      <x:c r="G11" s="13" t="n">
        <x:v>6</x:v>
      </x:c>
      <x:c r="H11" s="12" t="n">
        <x:v>296.5</x:v>
      </x:c>
      <x:c r="I11" s="12" t="n">
        <x:v>281</x:v>
      </x:c>
      <x:c r="J11" s="12" t="n">
        <x:v>15.5</x:v>
      </x:c>
      <x:c r="K11" s="12" t="n">
        <x:v>291.1</x:v>
      </x:c>
      <x:c r="L11" s="12" t="n">
        <x:v>16</x:v>
      </x:c>
      <x:c r="M11" s="12" t="n">
        <x:v>102.9</x:v>
      </x:c>
      <x:c r="N11" s="11" t="str">
        <x:v>High</x:v>
      </x:c>
      <x:c r="O11" s="13" t="n">
        <x:v>10</x:v>
      </x:c>
      <x:c r="P11" s="13" t="n">
        <x:v>7</x:v>
      </x:c>
      <x:c r="Q11" s="11"/>
      <x:c r="R11" s="11" t="str">
        <x:v>Veteran model: 2025 form, prior-year trend and same team pass/run forecast; team pass volume #10, rush volume #7</x:v>
      </x:c>
    </x:row>
    <x:row r="12" ht="19" customHeight="1">
      <x:c r="A12" s="13" t="n">
        <x:v>8</x:v>
      </x:c>
      <x:c r="B12" s="12" t="n">
        <x:v>12</x:v>
      </x:c>
      <x:c r="C12" s="12" t="n">
        <x:f>B12-A12</x:f>
        <x:v>4</x:v>
      </x:c>
      <x:c r="D12" s="11" t="str">
        <x:v>De'Von Achane</x:v>
      </x:c>
      <x:c r="E12" s="11" t="str">
        <x:v>RB</x:v>
      </x:c>
      <x:c r="F12" s="11" t="str">
        <x:v>MIA</x:v>
      </x:c>
      <x:c r="G12" s="13" t="n">
        <x:v>6</x:v>
      </x:c>
      <x:c r="H12" s="12" t="n">
        <x:v>281.8</x:v>
      </x:c>
      <x:c r="I12" s="12" t="n">
        <x:v>257</x:v>
      </x:c>
      <x:c r="J12" s="12" t="n">
        <x:v>24.8</x:v>
      </x:c>
      <x:c r="K12" s="12" t="n">
        <x:v>273.1</x:v>
      </x:c>
      <x:c r="L12" s="12" t="n">
        <x:v>15.7</x:v>
      </x:c>
      <x:c r="M12" s="12" t="n">
        <x:v>88.2</x:v>
      </x:c>
      <x:c r="N12" s="11" t="str">
        <x:v>High</x:v>
      </x:c>
      <x:c r="O12" s="13" t="n">
        <x:v>25</x:v>
      </x:c>
      <x:c r="P12" s="13" t="n">
        <x:v>24</x:v>
      </x:c>
      <x:c r="Q12" s="11"/>
      <x:c r="R12" s="11" t="str">
        <x:v>Veteran model: 2025 form, prior-year trend and same team pass/run forecast; team pass volume #25, rush volume #24</x:v>
      </x:c>
    </x:row>
    <x:row r="13" ht="19" customHeight="1">
      <x:c r="A13" s="13" t="n">
        <x:v>9</x:v>
      </x:c>
      <x:c r="B13" s="12" t="n">
        <x:v>6.1</x:v>
      </x:c>
      <x:c r="C13" s="12" t="n">
        <x:f>B13-A13</x:f>
        <x:v>-2.9000000000000004</x:v>
      </x:c>
      <x:c r="D13" s="11" t="str">
        <x:v>Jonathan Taylor</x:v>
      </x:c>
      <x:c r="E13" s="11" t="str">
        <x:v>RB</x:v>
      </x:c>
      <x:c r="F13" s="11" t="str">
        <x:v>IND</x:v>
      </x:c>
      <x:c r="G13" s="13" t="n">
        <x:v>13</x:v>
      </x:c>
      <x:c r="H13" s="12" t="n">
        <x:v>280.3</x:v>
      </x:c>
      <x:c r="I13" s="12" t="n">
        <x:v>272</x:v>
      </x:c>
      <x:c r="J13" s="12" t="n">
        <x:v>8.3</x:v>
      </x:c>
      <x:c r="K13" s="12" t="n">
        <x:v>277.4</x:v>
      </x:c>
      <x:c r="L13" s="12" t="n">
        <x:v>14.5</x:v>
      </x:c>
      <x:c r="M13" s="12" t="n">
        <x:v>85.1</x:v>
      </x:c>
      <x:c r="N13" s="11" t="str">
        <x:v>High</x:v>
      </x:c>
      <x:c r="O13" s="13" t="n">
        <x:v>21</x:v>
      </x:c>
      <x:c r="P13" s="13" t="n">
        <x:v>13</x:v>
      </x:c>
      <x:c r="Q13" s="11"/>
      <x:c r="R13" s="11" t="str">
        <x:v>Veteran model: 2025 form, prior-year trend and same team pass/run forecast; team pass volume #21, rush volume #13</x:v>
      </x:c>
    </x:row>
    <x:row r="14" ht="19" customHeight="1">
      <x:c r="A14" s="13" t="n">
        <x:v>10</x:v>
      </x:c>
      <x:c r="B14" s="12" t="n">
        <x:v>20.1</x:v>
      </x:c>
      <x:c r="C14" s="12" t="n">
        <x:f>B14-A14</x:f>
        <x:v>10.100000000000001</x:v>
      </x:c>
      <x:c r="D14" s="11" t="str">
        <x:v>Trey McBride</x:v>
      </x:c>
      <x:c r="E14" s="11" t="str">
        <x:v>TE</x:v>
      </x:c>
      <x:c r="F14" s="11" t="str">
        <x:v>ARI</x:v>
      </x:c>
      <x:c r="G14" s="13" t="n">
        <x:v>14</x:v>
      </x:c>
      <x:c r="H14" s="12" t="n">
        <x:v>238.6</x:v>
      </x:c>
      <x:c r="I14" s="12" t="n">
        <x:v>235</x:v>
      </x:c>
      <x:c r="J14" s="12" t="n">
        <x:v>3.6</x:v>
      </x:c>
      <x:c r="K14" s="12" t="n">
        <x:v>237.3</x:v>
      </x:c>
      <x:c r="L14" s="12" t="n">
        <x:v>16.2</x:v>
      </x:c>
      <x:c r="M14" s="12" t="n">
        <x:v>80.1</x:v>
      </x:c>
      <x:c r="N14" s="11" t="str">
        <x:v>High</x:v>
      </x:c>
      <x:c r="O14" s="13" t="n">
        <x:v>3</x:v>
      </x:c>
      <x:c r="P14" s="13" t="n">
        <x:v>29</x:v>
      </x:c>
      <x:c r="Q14" s="11"/>
      <x:c r="R14" s="11" t="str">
        <x:v>Veteran model: 2025 form, prior-year trend and same team pass/run forecast; team pass volume #3, rush volume #29</x:v>
      </x:c>
    </x:row>
    <x:row r="15" ht="19" customHeight="1">
      <x:c r="A15" s="13" t="n">
        <x:v>11</x:v>
      </x:c>
      <x:c r="B15" s="12" t="n">
        <x:v>22.1</x:v>
      </x:c>
      <x:c r="C15" s="12" t="n">
        <x:f>B15-A15</x:f>
        <x:v>11.100000000000001</x:v>
      </x:c>
      <x:c r="D15" s="11" t="str">
        <x:v>Brock Bowers</x:v>
      </x:c>
      <x:c r="E15" s="11" t="str">
        <x:v>TE</x:v>
      </x:c>
      <x:c r="F15" s="11" t="str">
        <x:v>LV</x:v>
      </x:c>
      <x:c r="G15" s="13" t="n">
        <x:v>13</x:v>
      </x:c>
      <x:c r="H15" s="12" t="n">
        <x:v>216.4</x:v>
      </x:c>
      <x:c r="I15" s="12" t="n">
        <x:v>254</x:v>
      </x:c>
      <x:c r="J15" s="12" t="n">
        <x:v>-37.6</x:v>
      </x:c>
      <x:c r="K15" s="12" t="n">
        <x:v>229.6</x:v>
      </x:c>
      <x:c r="L15" s="12" t="n">
        <x:v>16.2</x:v>
      </x:c>
      <x:c r="M15" s="12" t="n">
        <x:v>72.8</x:v>
      </x:c>
      <x:c r="N15" s="11" t="str">
        <x:v>High</x:v>
      </x:c>
      <x:c r="O15" s="13" t="n">
        <x:v>15</x:v>
      </x:c>
      <x:c r="P15" s="13" t="n">
        <x:v>32</x:v>
      </x:c>
      <x:c r="Q15" s="11"/>
      <x:c r="R15" s="11" t="str">
        <x:v>Veteran model: 2025 form, prior-year trend and same team pass/run forecast; team pass volume #15, rush volume #32</x:v>
      </x:c>
    </x:row>
    <x:row r="16" ht="19" customHeight="1">
      <x:c r="A16" s="13" t="n">
        <x:v>12</x:v>
      </x:c>
      <x:c r="B16" s="12" t="n">
        <x:v>10.5</x:v>
      </x:c>
      <x:c r="C16" s="12" t="n">
        <x:f>B16-A16</x:f>
        <x:v>-1.5</x:v>
      </x:c>
      <x:c r="D16" s="11" t="str">
        <x:v>James Cook</x:v>
      </x:c>
      <x:c r="E16" s="11" t="str">
        <x:v>RB</x:v>
      </x:c>
      <x:c r="F16" s="11" t="str">
        <x:v>BUF</x:v>
      </x:c>
      <x:c r="G16" s="13" t="n">
        <x:v>7</x:v>
      </x:c>
      <x:c r="H16" s="12" t="n">
        <x:v>244.7</x:v>
      </x:c>
      <x:c r="I16" s="12" t="n">
        <x:v>261</x:v>
      </x:c>
      <x:c r="J16" s="12" t="n">
        <x:v>-16.3</x:v>
      </x:c>
      <x:c r="K16" s="12" t="n">
        <x:v>250.4</x:v>
      </x:c>
      <x:c r="L16" s="12" t="n">
        <x:v>14.9</x:v>
      </x:c>
      <x:c r="M16" s="12" t="n">
        <x:v>63.8</x:v>
      </x:c>
      <x:c r="N16" s="11" t="str">
        <x:v>High</x:v>
      </x:c>
      <x:c r="O16" s="13" t="n">
        <x:v>28</x:v>
      </x:c>
      <x:c r="P16" s="13" t="n">
        <x:v>3</x:v>
      </x:c>
      <x:c r="Q16" s="11"/>
      <x:c r="R16" s="11" t="str">
        <x:v>Veteran model: 2025 form, prior-year trend and same team pass/run forecast; team pass volume #28, rush volume #3</x:v>
      </x:c>
    </x:row>
    <x:row r="17" ht="19" customHeight="1">
      <x:c r="A17" s="13" t="n">
        <x:v>13</x:v>
      </x:c>
      <x:c r="B17" s="12" t="n">
        <x:v>23.3</x:v>
      </x:c>
      <x:c r="C17" s="12" t="n">
        <x:f>B17-A17</x:f>
        <x:v>10.3</x:v>
      </x:c>
      <x:c r="D17" s="11" t="str">
        <x:v>George Pickens</x:v>
      </x:c>
      <x:c r="E17" s="11" t="str">
        <x:v>WR</x:v>
      </x:c>
      <x:c r="F17" s="11" t="str">
        <x:v>DAL</x:v>
      </x:c>
      <x:c r="G17" s="13" t="n">
        <x:v>14</x:v>
      </x:c>
      <x:c r="H17" s="12" t="n">
        <x:v>261.3</x:v>
      </x:c>
      <x:c r="I17" s="12" t="n">
        <x:v>246</x:v>
      </x:c>
      <x:c r="J17" s="12" t="n">
        <x:v>15.3</x:v>
      </x:c>
      <x:c r="K17" s="12" t="n">
        <x:v>255.9</x:v>
      </x:c>
      <x:c r="L17" s="12" t="n">
        <x:v>14.6</x:v>
      </x:c>
      <x:c r="M17" s="12" t="n">
        <x:v>63.6</x:v>
      </x:c>
      <x:c r="N17" s="11" t="str">
        <x:v>High</x:v>
      </x:c>
      <x:c r="O17" s="13" t="n">
        <x:v>2</x:v>
      </x:c>
      <x:c r="P17" s="13" t="n">
        <x:v>20</x:v>
      </x:c>
      <x:c r="Q17" s="11"/>
      <x:c r="R17" s="11" t="str">
        <x:v>Veteran model: 2025 form, prior-year trend and same team pass/run forecast; team pass volume #2, rush volume #20</x:v>
      </x:c>
    </x:row>
    <x:row r="18" ht="19" customHeight="1">
      <x:c r="A18" s="13" t="n">
        <x:v>14</x:v>
      </x:c>
      <x:c r="B18" s="12" t="n">
        <x:v>16.1</x:v>
      </x:c>
      <x:c r="C18" s="12" t="n">
        <x:f>B18-A18</x:f>
        <x:v>2.1000000000000014</x:v>
      </x:c>
      <x:c r="D18" s="11" t="str">
        <x:v>Drake London</x:v>
      </x:c>
      <x:c r="E18" s="11" t="str">
        <x:v>WR</x:v>
      </x:c>
      <x:c r="F18" s="11" t="str">
        <x:v>ATL</x:v>
      </x:c>
      <x:c r="G18" s="13" t="n">
        <x:v>11</x:v>
      </x:c>
      <x:c r="H18" s="12" t="n">
        <x:v>266</x:v>
      </x:c>
      <x:c r="I18" s="12" t="n">
        <x:v>250</x:v>
      </x:c>
      <x:c r="J18" s="12" t="n">
        <x:v>16</x:v>
      </x:c>
      <x:c r="K18" s="12" t="n">
        <x:v>260.4</x:v>
      </x:c>
      <x:c r="L18" s="12" t="n">
        <x:v>13.5</x:v>
      </x:c>
      <x:c r="M18" s="12" t="n">
        <x:v>62.4</x:v>
      </x:c>
      <x:c r="N18" s="11" t="str">
        <x:v>High</x:v>
      </x:c>
      <x:c r="O18" s="13" t="n">
        <x:v>17</x:v>
      </x:c>
      <x:c r="P18" s="13" t="n">
        <x:v>5</x:v>
      </x:c>
      <x:c r="Q18" s="11"/>
      <x:c r="R18" s="11" t="str">
        <x:v>Veteran model: 2025 form, prior-year trend and same team pass/run forecast; team pass volume #17, rush volume #5</x:v>
      </x:c>
    </x:row>
    <x:row r="19" ht="19" customHeight="1">
      <x:c r="A19" s="13" t="n">
        <x:v>15</x:v>
      </x:c>
      <x:c r="B19" s="12" t="n">
        <x:v>13.8</x:v>
      </x:c>
      <x:c r="C19" s="12" t="n">
        <x:f>B19-A19</x:f>
        <x:v>-1.1999999999999993</x:v>
      </x:c>
      <x:c r="D19" s="11" t="str">
        <x:v>Ashton Jeanty</x:v>
      </x:c>
      <x:c r="E19" s="11" t="str">
        <x:v>RB</x:v>
      </x:c>
      <x:c r="F19" s="11" t="str">
        <x:v>LV</x:v>
      </x:c>
      <x:c r="G19" s="13" t="n">
        <x:v>13</x:v>
      </x:c>
      <x:c r="H19" s="12" t="n">
        <x:v>247.8</x:v>
      </x:c>
      <x:c r="I19" s="12" t="n">
        <x:v>260</x:v>
      </x:c>
      <x:c r="J19" s="12" t="n">
        <x:v>-12.2</x:v>
      </x:c>
      <x:c r="K19" s="12" t="n">
        <x:v>253.9</x:v>
      </x:c>
      <x:c r="L19" s="12" t="n">
        <x:v>13.7</x:v>
      </x:c>
      <x:c r="M19" s="12" t="n">
        <x:v>61.5</x:v>
      </x:c>
      <x:c r="N19" s="11" t="str">
        <x:v>Medium</x:v>
      </x:c>
      <x:c r="O19" s="13" t="n">
        <x:v>15</x:v>
      </x:c>
      <x:c r="P19" s="13" t="n">
        <x:v>32</x:v>
      </x:c>
      <x:c r="Q19" s="11"/>
      <x:c r="R19" s="11" t="str">
        <x:v>Veteran model: 2025 form, prior-year trend and same team pass/run forecast; team pass volume #15, rush volume #32</x:v>
      </x:c>
    </x:row>
    <x:row r="20" ht="19" customHeight="1">
      <x:c r="A20" s="13" t="n">
        <x:v>16</x:v>
      </x:c>
      <x:c r="B20" s="12" t="n">
        <x:v>30.3</x:v>
      </x:c>
      <x:c r="C20" s="12" t="n">
        <x:f>B20-A20</x:f>
        <x:v>14.3</x:v>
      </x:c>
      <x:c r="D20" s="11" t="str">
        <x:v>Chris Olave</x:v>
      </x:c>
      <x:c r="E20" s="11" t="str">
        <x:v>WR</x:v>
      </x:c>
      <x:c r="F20" s="11" t="str">
        <x:v>NO</x:v>
      </x:c>
      <x:c r="G20" s="13" t="n">
        <x:v>8</x:v>
      </x:c>
      <x:c r="H20" s="12" t="n">
        <x:v>256.8</x:v>
      </x:c>
      <x:c r="I20" s="12" t="n">
        <x:v>236</x:v>
      </x:c>
      <x:c r="J20" s="12" t="n">
        <x:v>20.8</x:v>
      </x:c>
      <x:c r="K20" s="12" t="n">
        <x:v>249.5</x:v>
      </x:c>
      <x:c r="L20" s="12" t="n">
        <x:v>14.4</x:v>
      </x:c>
      <x:c r="M20" s="12" t="n">
        <x:v>57.3</x:v>
      </x:c>
      <x:c r="N20" s="11" t="str">
        <x:v>High</x:v>
      </x:c>
      <x:c r="O20" s="13" t="n">
        <x:v>8</x:v>
      </x:c>
      <x:c r="P20" s="13" t="n">
        <x:v>22</x:v>
      </x:c>
      <x:c r="Q20" s="11"/>
      <x:c r="R20" s="11" t="str">
        <x:v>Veteran model: 2025 form, prior-year trend and same team pass/run forecast; team pass volume #8, rush volume #22</x:v>
      </x:c>
    </x:row>
    <x:row r="21" ht="19" customHeight="1">
      <x:c r="A21" s="13" t="n">
        <x:v>17</x:v>
      </x:c>
      <x:c r="B21" s="12" t="n">
        <x:v>13.7</x:v>
      </x:c>
      <x:c r="C21" s="12" t="n">
        <x:f>B21-A21</x:f>
        <x:v>-3.3000000000000007</x:v>
      </x:c>
      <x:c r="D21" s="11" t="str">
        <x:v>Saquon Barkley</x:v>
      </x:c>
      <x:c r="E21" s="11" t="str">
        <x:v>RB</x:v>
      </x:c>
      <x:c r="F21" s="11" t="str">
        <x:v>PHI</x:v>
      </x:c>
      <x:c r="G21" s="13" t="n">
        <x:v>10</x:v>
      </x:c>
      <x:c r="H21" s="12" t="n">
        <x:v>249.8</x:v>
      </x:c>
      <x:c r="I21" s="12" t="n">
        <x:v>247</x:v>
      </x:c>
      <x:c r="J21" s="12" t="n">
        <x:v>2.8</x:v>
      </x:c>
      <x:c r="K21" s="12" t="n">
        <x:v>248.8</x:v>
      </x:c>
      <x:c r="L21" s="12" t="n">
        <x:v>13</x:v>
      </x:c>
      <x:c r="M21" s="12" t="n">
        <x:v>54.4</x:v>
      </x:c>
      <x:c r="N21" s="11" t="str">
        <x:v>High</x:v>
      </x:c>
      <x:c r="O21" s="13" t="n">
        <x:v>31</x:v>
      </x:c>
      <x:c r="P21" s="13" t="n">
        <x:v>2</x:v>
      </x:c>
      <x:c r="Q21" s="11"/>
      <x:c r="R21" s="11" t="str">
        <x:v>Veteran model: 2025 form, prior-year trend and same team pass/run forecast; team pass volume #31, rush volume #2</x:v>
      </x:c>
    </x:row>
    <x:row r="22" ht="19" customHeight="1">
      <x:c r="A22" s="13" t="n">
        <x:v>18</x:v>
      </x:c>
      <x:c r="B22" s="12" t="n">
        <x:v>9.5</x:v>
      </x:c>
      <x:c r="C22" s="12" t="n">
        <x:f>B22-A22</x:f>
        <x:v>-8.5</x:v>
      </x:c>
      <x:c r="D22" s="11" t="str">
        <x:v>CeeDee Lamb</x:v>
      </x:c>
      <x:c r="E22" s="11" t="str">
        <x:v>WR</x:v>
      </x:c>
      <x:c r="F22" s="11" t="str">
        <x:v>DAL</x:v>
      </x:c>
      <x:c r="G22" s="13" t="n">
        <x:v>14</x:v>
      </x:c>
      <x:c r="H22" s="12" t="n">
        <x:v>247.2</x:v>
      </x:c>
      <x:c r="I22" s="12" t="n">
        <x:v>271</x:v>
      </x:c>
      <x:c r="J22" s="12" t="n">
        <x:v>-23.8</x:v>
      </x:c>
      <x:c r="K22" s="12" t="n">
        <x:v>255.6</x:v>
      </x:c>
      <x:c r="L22" s="12" t="n">
        <x:v>12.5</x:v>
      </x:c>
      <x:c r="M22" s="12" t="n">
        <x:v>54.3</x:v>
      </x:c>
      <x:c r="N22" s="11" t="str">
        <x:v>High</x:v>
      </x:c>
      <x:c r="O22" s="13" t="n">
        <x:v>2</x:v>
      </x:c>
      <x:c r="P22" s="13" t="n">
        <x:v>20</x:v>
      </x:c>
      <x:c r="Q22" s="11"/>
      <x:c r="R22" s="11" t="str">
        <x:v>Veteran model: 2025 form, prior-year trend and same team pass/run forecast; team pass volume #2, rush volume #20</x:v>
      </x:c>
    </x:row>
    <x:row r="23" ht="19" customHeight="1">
      <x:c r="A23" s="13" t="n">
        <x:v>19</x:v>
      </x:c>
      <x:c r="B23" s="12" t="n">
        <x:v>26.8</x:v>
      </x:c>
      <x:c r="C23" s="12" t="n">
        <x:f>B23-A23</x:f>
        <x:v>7.800000000000001</x:v>
      </x:c>
      <x:c r="D23" s="11" t="str">
        <x:v>Jeremiyah Love</x:v>
      </x:c>
      <x:c r="E23" s="11" t="str">
        <x:v>RB</x:v>
      </x:c>
      <x:c r="F23" s="11" t="str">
        <x:v>ARI</x:v>
      </x:c>
      <x:c r="G23" s="13" t="n">
        <x:v>14</x:v>
      </x:c>
      <x:c r="H23" s="12" t="n">
        <x:v>284.8</x:v>
      </x:c>
      <x:c r="I23" s="12" t="n">
        <x:v>212</x:v>
      </x:c>
      <x:c r="J23" s="12" t="n">
        <x:v>72.8</x:v>
      </x:c>
      <x:c r="K23" s="12" t="n">
        <x:v>230.2</x:v>
      </x:c>
      <x:c r="L23" s="12" t="n">
        <x:v>17</x:v>
      </x:c>
      <x:c r="M23" s="12" t="n">
        <x:v>52.6</x:v>
      </x:c>
      <x:c r="N23" s="11" t="str">
        <x:v>Low</x:v>
      </x:c>
      <x:c r="O23" s="13" t="n">
        <x:v>3</x:v>
      </x:c>
      <x:c r="P23" s="13" t="n">
        <x:v>29</x:v>
      </x:c>
      <x:c r="Q23" s="11" t="str">
        <x:v>Ques</x:v>
      </x:c>
      <x:c r="R23" s="11" t="str">
        <x:v>Rookie model: pick 3, age and destination-team environment; team pass volume #3, rush volume #29</x:v>
      </x:c>
    </x:row>
    <x:row r="24" ht="19" customHeight="1">
      <x:c r="A24" s="13" t="n">
        <x:v>20</x:v>
      </x:c>
      <x:c r="B24" s="12" t="n">
        <x:v>17.5</x:v>
      </x:c>
      <x:c r="C24" s="12" t="n">
        <x:f>B24-A24</x:f>
        <x:v>-2.5</x:v>
      </x:c>
      <x:c r="D24" s="11" t="str">
        <x:v>Chase Brown</x:v>
      </x:c>
      <x:c r="E24" s="11" t="str">
        <x:v>RB</x:v>
      </x:c>
      <x:c r="F24" s="11" t="str">
        <x:v>CIN</x:v>
      </x:c>
      <x:c r="G24" s="13" t="n">
        <x:v>6</x:v>
      </x:c>
      <x:c r="H24" s="12" t="n">
        <x:v>231.2</x:v>
      </x:c>
      <x:c r="I24" s="12" t="n">
        <x:v>255</x:v>
      </x:c>
      <x:c r="J24" s="12" t="n">
        <x:v>-23.8</x:v>
      </x:c>
      <x:c r="K24" s="12" t="n">
        <x:v>239.5</x:v>
      </x:c>
      <x:c r="L24" s="12" t="n">
        <x:v>14</x:v>
      </x:c>
      <x:c r="M24" s="12" t="n">
        <x:v>51</x:v>
      </x:c>
      <x:c r="N24" s="11" t="str">
        <x:v>High</x:v>
      </x:c>
      <x:c r="O24" s="13" t="n">
        <x:v>1</x:v>
      </x:c>
      <x:c r="P24" s="13" t="n">
        <x:v>31</x:v>
      </x:c>
      <x:c r="Q24" s="11"/>
      <x:c r="R24" s="11" t="str">
        <x:v>Veteran model: 2025 form, prior-year trend and same team pass/run forecast; team pass volume #1, rush volume #31</x:v>
      </x:c>
    </x:row>
    <x:row r="25" ht="19" customHeight="1">
      <x:c r="A25" s="13" t="n">
        <x:v>21</x:v>
      </x:c>
      <x:c r="B25" s="12" t="n">
        <x:v>41.1</x:v>
      </x:c>
      <x:c r="C25" s="12" t="n">
        <x:f>B25-A25</x:f>
        <x:v>20.1</x:v>
      </x:c>
      <x:c r="D25" s="11" t="str">
        <x:v>Zay Flowers</x:v>
      </x:c>
      <x:c r="E25" s="11" t="str">
        <x:v>WR</x:v>
      </x:c>
      <x:c r="F25" s="11" t="str">
        <x:v>BAL</x:v>
      </x:c>
      <x:c r="G25" s="13" t="n">
        <x:v>13</x:v>
      </x:c>
      <x:c r="H25" s="12" t="n">
        <x:v>237.8</x:v>
      </x:c>
      <x:c r="I25" s="12" t="n">
        <x:v>228</x:v>
      </x:c>
      <x:c r="J25" s="12" t="n">
        <x:v>9.8</x:v>
      </x:c>
      <x:c r="K25" s="12" t="n">
        <x:v>234.4</x:v>
      </x:c>
      <x:c r="L25" s="12" t="n">
        <x:v>15.6</x:v>
      </x:c>
      <x:c r="M25" s="12" t="n">
        <x:v>48.3</x:v>
      </x:c>
      <x:c r="N25" s="11" t="str">
        <x:v>High</x:v>
      </x:c>
      <x:c r="O25" s="13" t="n">
        <x:v>32</x:v>
      </x:c>
      <x:c r="P25" s="13" t="n">
        <x:v>1</x:v>
      </x:c>
      <x:c r="Q25" s="11"/>
      <x:c r="R25" s="11" t="str">
        <x:v>Veteran model: 2025 form, prior-year trend and same team pass/run forecast; team pass volume #32, rush volume #1</x:v>
      </x:c>
    </x:row>
    <x:row r="26" ht="19" customHeight="1">
      <x:c r="A26" s="13" t="n">
        <x:v>22</x:v>
      </x:c>
      <x:c r="B26" s="12" t="n">
        <x:v>25.7</x:v>
      </x:c>
      <x:c r="C26" s="12" t="n">
        <x:f>B26-A26</x:f>
        <x:v>3.6999999999999993</x:v>
      </x:c>
      <x:c r="D26" s="11" t="str">
        <x:v>Nico Collins</x:v>
      </x:c>
      <x:c r="E26" s="11" t="str">
        <x:v>WR</x:v>
      </x:c>
      <x:c r="F26" s="11" t="str">
        <x:v>HOU</x:v>
      </x:c>
      <x:c r="G26" s="13" t="n">
        <x:v>8</x:v>
      </x:c>
      <x:c r="H26" s="12" t="n">
        <x:v>229.1</x:v>
      </x:c>
      <x:c r="I26" s="12" t="n">
        <x:v>262</x:v>
      </x:c>
      <x:c r="J26" s="12" t="n">
        <x:v>-32.9</x:v>
      </x:c>
      <x:c r="K26" s="12" t="n">
        <x:v>240.6</x:v>
      </x:c>
      <x:c r="L26" s="12" t="n">
        <x:v>13.8</x:v>
      </x:c>
      <x:c r="M26" s="12" t="n">
        <x:v>47.7</x:v>
      </x:c>
      <x:c r="N26" s="11" t="str">
        <x:v>High</x:v>
      </x:c>
      <x:c r="O26" s="13" t="n">
        <x:v>9</x:v>
      </x:c>
      <x:c r="P26" s="13" t="n">
        <x:v>17</x:v>
      </x:c>
      <x:c r="Q26" s="11"/>
      <x:c r="R26" s="11" t="str">
        <x:v>Veteran model: 2025 form, prior-year trend and same team pass/run forecast; team pass volume #9, rush volume #17</x:v>
      </x:c>
    </x:row>
    <x:row r="27" ht="19" customHeight="1">
      <x:c r="A27" s="13" t="n">
        <x:v>23</x:v>
      </x:c>
      <x:c r="B27" s="12" t="n">
        <x:v>11.2</x:v>
      </x:c>
      <x:c r="C27" s="12" t="n">
        <x:f>B27-A27</x:f>
        <x:v>-11.8</x:v>
      </x:c>
      <x:c r="D27" s="11" t="str">
        <x:v>Justin Jefferson</x:v>
      </x:c>
      <x:c r="E27" s="11" t="str">
        <x:v>WR</x:v>
      </x:c>
      <x:c r="F27" s="11" t="str">
        <x:v>MIN</x:v>
      </x:c>
      <x:c r="G27" s="13" t="n">
        <x:v>6</x:v>
      </x:c>
      <x:c r="H27" s="12" t="n">
        <x:v>238.1</x:v>
      </x:c>
      <x:c r="I27" s="12" t="n">
        <x:v>250</x:v>
      </x:c>
      <x:c r="J27" s="12" t="n">
        <x:v>-11.9</x:v>
      </x:c>
      <x:c r="K27" s="12" t="n">
        <x:v>242.3</x:v>
      </x:c>
      <x:c r="L27" s="12" t="n">
        <x:v>13.1</x:v>
      </x:c>
      <x:c r="M27" s="12" t="n">
        <x:v>46.6</x:v>
      </x:c>
      <x:c r="N27" s="11" t="str">
        <x:v>High</x:v>
      </x:c>
      <x:c r="O27" s="13" t="n">
        <x:v>26</x:v>
      </x:c>
      <x:c r="P27" s="13" t="n">
        <x:v>27</x:v>
      </x:c>
      <x:c r="Q27" s="11"/>
      <x:c r="R27" s="11" t="str">
        <x:v>Veteran model: 2025 form, prior-year trend and same team pass/run forecast; team pass volume #26, rush volume #27</x:v>
      </x:c>
    </x:row>
    <x:row r="28" ht="19" customHeight="1">
      <x:c r="A28" s="13" t="n">
        <x:v>24</x:v>
      </x:c>
      <x:c r="B28" s="12" t="n">
        <x:v>24.5</x:v>
      </x:c>
      <x:c r="C28" s="12" t="n">
        <x:f>B28-A28</x:f>
        <x:v>0.5</x:v>
      </x:c>
      <x:c r="D28" s="11" t="str">
        <x:v>Josh Allen</x:v>
      </x:c>
      <x:c r="E28" s="11" t="str">
        <x:v>QB</x:v>
      </x:c>
      <x:c r="F28" s="11" t="str">
        <x:v>BUF</x:v>
      </x:c>
      <x:c r="G28" s="13" t="n">
        <x:v>7</x:v>
      </x:c>
      <x:c r="H28" s="12" t="n">
        <x:v>325.1</x:v>
      </x:c>
      <x:c r="I28" s="12" t="n">
        <x:v>362</x:v>
      </x:c>
      <x:c r="J28" s="12" t="n">
        <x:v>-36.9</x:v>
      </x:c>
      <x:c r="K28" s="12" t="n">
        <x:v>338</x:v>
      </x:c>
      <x:c r="L28" s="12" t="n">
        <x:v>14.7</x:v>
      </x:c>
      <x:c r="M28" s="12" t="n">
        <x:v>44.8</x:v>
      </x:c>
      <x:c r="N28" s="11" t="str">
        <x:v>High</x:v>
      </x:c>
      <x:c r="O28" s="13" t="n">
        <x:v>28</x:v>
      </x:c>
      <x:c r="P28" s="13" t="n">
        <x:v>3</x:v>
      </x:c>
      <x:c r="Q28" s="11"/>
      <x:c r="R28" s="11" t="str">
        <x:v>Veteran model: 2025 form, prior-year trend and same team pass/run forecast; team pass volume #28, rush volume #3</x:v>
      </x:c>
    </x:row>
    <x:row r="29" ht="19" customHeight="1">
      <x:c r="A29" s="13" t="n">
        <x:v>25</x:v>
      </x:c>
      <x:c r="B29" s="12" t="n">
        <x:v>18.3</x:v>
      </x:c>
      <x:c r="C29" s="12" t="n">
        <x:f>B29-A29</x:f>
        <x:v>-6.699999999999999</x:v>
      </x:c>
      <x:c r="D29" s="11" t="str">
        <x:v>A.J. Brown</x:v>
      </x:c>
      <x:c r="E29" s="11" t="str">
        <x:v>WR</x:v>
      </x:c>
      <x:c r="F29" s="11" t="str">
        <x:v>NE</x:v>
      </x:c>
      <x:c r="G29" s="13" t="n">
        <x:v>11</x:v>
      </x:c>
      <x:c r="H29" s="12" t="n">
        <x:v>225</x:v>
      </x:c>
      <x:c r="I29" s="12" t="n">
        <x:v>247</x:v>
      </x:c>
      <x:c r="J29" s="12" t="n">
        <x:v>-22</x:v>
      </x:c>
      <x:c r="K29" s="12" t="n">
        <x:v>232.7</x:v>
      </x:c>
      <x:c r="L29" s="12" t="n">
        <x:v>14</x:v>
      </x:c>
      <x:c r="M29" s="12" t="n">
        <x:v>41.9</x:v>
      </x:c>
      <x:c r="N29" s="11" t="str">
        <x:v>High</x:v>
      </x:c>
      <x:c r="O29" s="13" t="n">
        <x:v>27</x:v>
      </x:c>
      <x:c r="P29" s="13" t="n">
        <x:v>12</x:v>
      </x:c>
      <x:c r="Q29" s="11"/>
      <x:c r="R29" s="11" t="str">
        <x:v>Veteran model: 2025 form, prior-year trend and new team pass/run forecast; team pass volume #27, rush volume #12</x:v>
      </x:c>
    </x:row>
    <x:row r="30" ht="19" customHeight="1">
      <x:c r="A30" s="13" t="n">
        <x:v>26</x:v>
      </x:c>
      <x:c r="B30" s="12" t="n">
        <x:v>32.5</x:v>
      </x:c>
      <x:c r="C30" s="12" t="n">
        <x:f>B30-A30</x:f>
        <x:v>6.5</x:v>
      </x:c>
      <x:c r="D30" s="11" t="str">
        <x:v>Breece Hall</x:v>
      </x:c>
      <x:c r="E30" s="11" t="str">
        <x:v>RB</x:v>
      </x:c>
      <x:c r="F30" s="11" t="str">
        <x:v>NYJ</x:v>
      </x:c>
      <x:c r="G30" s="13" t="n">
        <x:v>13</x:v>
      </x:c>
      <x:c r="H30" s="12" t="n">
        <x:v>232.5</x:v>
      </x:c>
      <x:c r="I30" s="12" t="n">
        <x:v>211</x:v>
      </x:c>
      <x:c r="J30" s="12" t="n">
        <x:v>21.5</x:v>
      </x:c>
      <x:c r="K30" s="12" t="n">
        <x:v>225</x:v>
      </x:c>
      <x:c r="L30" s="12" t="n">
        <x:v>14.3</x:v>
      </x:c>
      <x:c r="M30" s="12" t="n">
        <x:v>39.9</x:v>
      </x:c>
      <x:c r="N30" s="11" t="str">
        <x:v>High</x:v>
      </x:c>
      <x:c r="O30" s="13" t="n">
        <x:v>20</x:v>
      </x:c>
      <x:c r="P30" s="13" t="n">
        <x:v>28</x:v>
      </x:c>
      <x:c r="Q30" s="11" t="str">
        <x:v>Ques</x:v>
      </x:c>
      <x:c r="R30" s="11" t="str">
        <x:v>Veteran model: 2025 form, prior-year trend and same team pass/run forecast; team pass volume #20, rush volume #28</x:v>
      </x:c>
    </x:row>
    <x:row r="31" ht="19" customHeight="1">
      <x:c r="A31" s="13" t="n">
        <x:v>27</x:v>
      </x:c>
      <x:c r="B31" s="12" t="n">
        <x:v>15.5</x:v>
      </x:c>
      <x:c r="C31" s="12" t="n">
        <x:f>B31-A31</x:f>
        <x:v>-11.5</x:v>
      </x:c>
      <x:c r="D31" s="11" t="str">
        <x:v>Omarion Hampton</x:v>
      </x:c>
      <x:c r="E31" s="11" t="str">
        <x:v>RB</x:v>
      </x:c>
      <x:c r="F31" s="11" t="str">
        <x:v>LAC</x:v>
      </x:c>
      <x:c r="G31" s="13" t="n">
        <x:v>7</x:v>
      </x:c>
      <x:c r="H31" s="12" t="n">
        <x:v>225.5</x:v>
      </x:c>
      <x:c r="I31" s="12" t="n">
        <x:v>243</x:v>
      </x:c>
      <x:c r="J31" s="12" t="n">
        <x:v>-17.5</x:v>
      </x:c>
      <x:c r="K31" s="12" t="n">
        <x:v>234.3</x:v>
      </x:c>
      <x:c r="L31" s="12" t="n">
        <x:v>11.9</x:v>
      </x:c>
      <x:c r="M31" s="12" t="n">
        <x:v>39.7</x:v>
      </x:c>
      <x:c r="N31" s="11" t="str">
        <x:v>Medium</x:v>
      </x:c>
      <x:c r="O31" s="13" t="n">
        <x:v>14</x:v>
      </x:c>
      <x:c r="P31" s="13" t="n">
        <x:v>16</x:v>
      </x:c>
      <x:c r="Q31" s="11"/>
      <x:c r="R31" s="11" t="str">
        <x:v>Veteran model: 2025 form, prior-year trend and same team pass/run forecast; team pass volume #14, rush volume #16</x:v>
      </x:c>
    </x:row>
    <x:row r="32" ht="19" customHeight="1">
      <x:c r="A32" s="13" t="n">
        <x:v>28</x:v>
      </x:c>
      <x:c r="B32" s="12" t="n">
        <x:v>68.2</x:v>
      </x:c>
      <x:c r="C32" s="12" t="n">
        <x:f>B32-A32</x:f>
        <x:v>40.2</x:v>
      </x:c>
      <x:c r="D32" s="11" t="str">
        <x:v>Kyle Pitts</x:v>
      </x:c>
      <x:c r="E32" s="11" t="str">
        <x:v>TE</x:v>
      </x:c>
      <x:c r="F32" s="11" t="str">
        <x:v>ATL</x:v>
      </x:c>
      <x:c r="G32" s="13" t="n">
        <x:v>11</x:v>
      </x:c>
      <x:c r="H32" s="12" t="n">
        <x:v>211.6</x:v>
      </x:c>
      <x:c r="I32" s="12" t="n">
        <x:v>172</x:v>
      </x:c>
      <x:c r="J32" s="12" t="n">
        <x:v>39.6</x:v>
      </x:c>
      <x:c r="K32" s="12" t="n">
        <x:v>197.7</x:v>
      </x:c>
      <x:c r="L32" s="12" t="n">
        <x:v>14.9</x:v>
      </x:c>
      <x:c r="M32" s="12" t="n">
        <x:v>39</x:v>
      </x:c>
      <x:c r="N32" s="11" t="str">
        <x:v>High</x:v>
      </x:c>
      <x:c r="O32" s="13" t="n">
        <x:v>17</x:v>
      </x:c>
      <x:c r="P32" s="13" t="n">
        <x:v>5</x:v>
      </x:c>
      <x:c r="Q32" s="11"/>
      <x:c r="R32" s="11" t="str">
        <x:v>Veteran model: 2025 form, prior-year trend and same team pass/run forecast; team pass volume #17, rush volume #5</x:v>
      </x:c>
    </x:row>
    <x:row r="33" ht="19" customHeight="1">
      <x:c r="A33" s="13" t="n">
        <x:v>29</x:v>
      </x:c>
      <x:c r="B33" s="12" t="n">
        <x:v>41.3</x:v>
      </x:c>
      <x:c r="C33" s="12" t="n">
        <x:f>B33-A33</x:f>
        <x:v>12.299999999999997</x:v>
      </x:c>
      <x:c r="D33" s="11" t="str">
        <x:v>Colston Loveland</x:v>
      </x:c>
      <x:c r="E33" s="11" t="str">
        <x:v>TE</x:v>
      </x:c>
      <x:c r="F33" s="11" t="str">
        <x:v>CHI</x:v>
      </x:c>
      <x:c r="G33" s="13" t="n">
        <x:v>10</x:v>
      </x:c>
      <x:c r="H33" s="12" t="n">
        <x:v>167.1</x:v>
      </x:c>
      <x:c r="I33" s="12" t="n">
        <x:v>215</x:v>
      </x:c>
      <x:c r="J33" s="12" t="n">
        <x:v>-47.9</x:v>
      </x:c>
      <x:c r="K33" s="12" t="n">
        <x:v>191.1</x:v>
      </x:c>
      <x:c r="L33" s="12" t="n">
        <x:v>15.7</x:v>
      </x:c>
      <x:c r="M33" s="12" t="n">
        <x:v>35</x:v>
      </x:c>
      <x:c r="N33" s="11" t="str">
        <x:v>Medium</x:v>
      </x:c>
      <x:c r="O33" s="13" t="n">
        <x:v>13</x:v>
      </x:c>
      <x:c r="P33" s="13" t="n">
        <x:v>6</x:v>
      </x:c>
      <x:c r="Q33" s="11"/>
      <x:c r="R33" s="11" t="str">
        <x:v>Veteran model: 2025 form, prior-year trend and same team pass/run forecast; team pass volume #13, rush volume #6</x:v>
      </x:c>
    </x:row>
    <x:row r="34" ht="19" customHeight="1">
      <x:c r="A34" s="13" t="n">
        <x:v>30</x:v>
      </x:c>
      <x:c r="B34" s="12" t="n">
        <x:v>20.3</x:v>
      </x:c>
      <x:c r="C34" s="12" t="n">
        <x:f>B34-A34</x:f>
        <x:v>-9.7</x:v>
      </x:c>
      <x:c r="D34" s="11" t="str">
        <x:v>Derrick Henry</x:v>
      </x:c>
      <x:c r="E34" s="11" t="str">
        <x:v>RB</x:v>
      </x:c>
      <x:c r="F34" s="11" t="str">
        <x:v>BAL</x:v>
      </x:c>
      <x:c r="G34" s="13" t="n">
        <x:v>13</x:v>
      </x:c>
      <x:c r="H34" s="12" t="n">
        <x:v>210.5</x:v>
      </x:c>
      <x:c r="I34" s="12" t="n">
        <x:v>247</x:v>
      </x:c>
      <x:c r="J34" s="12" t="n">
        <x:v>-36.5</x:v>
      </x:c>
      <x:c r="K34" s="12" t="n">
        <x:v>223.3</x:v>
      </x:c>
      <x:c r="L34" s="12" t="n">
        <x:v>12.8</x:v>
      </x:c>
      <x:c r="M34" s="12" t="n">
        <x:v>34.4</x:v>
      </x:c>
      <x:c r="N34" s="11" t="str">
        <x:v>High</x:v>
      </x:c>
      <x:c r="O34" s="13" t="n">
        <x:v>32</x:v>
      </x:c>
      <x:c r="P34" s="13" t="n">
        <x:v>1</x:v>
      </x:c>
      <x:c r="Q34" s="11"/>
      <x:c r="R34" s="11" t="str">
        <x:v>Veteran model: 2025 form, prior-year trend and same team pass/run forecast; team pass volume #32, rush volume #1</x:v>
      </x:c>
    </x:row>
    <x:row r="35" ht="19" customHeight="1">
      <x:c r="A35" s="13" t="n">
        <x:v>31</x:v>
      </x:c>
      <x:c r="B35" s="12" t="n">
        <x:v>37.5</x:v>
      </x:c>
      <x:c r="C35" s="12" t="n">
        <x:f>B35-A35</x:f>
        <x:v>6.5</x:v>
      </x:c>
      <x:c r="D35" s="11" t="str">
        <x:v>DeVonta Smith</x:v>
      </x:c>
      <x:c r="E35" s="11" t="str">
        <x:v>WR</x:v>
      </x:c>
      <x:c r="F35" s="11" t="str">
        <x:v>PHI</x:v>
      </x:c>
      <x:c r="G35" s="13" t="n">
        <x:v>10</x:v>
      </x:c>
      <x:c r="H35" s="12" t="n">
        <x:v>224.8</x:v>
      </x:c>
      <x:c r="I35" s="12" t="n">
        <x:v>229</x:v>
      </x:c>
      <x:c r="J35" s="12" t="n">
        <x:v>-4.2</x:v>
      </x:c>
      <x:c r="K35" s="12" t="n">
        <x:v>226.3</x:v>
      </x:c>
      <x:c r="L35" s="12" t="n">
        <x:v>13.1</x:v>
      </x:c>
      <x:c r="M35" s="12" t="n">
        <x:v>34.3</x:v>
      </x:c>
      <x:c r="N35" s="11" t="str">
        <x:v>High</x:v>
      </x:c>
      <x:c r="O35" s="13" t="n">
        <x:v>31</x:v>
      </x:c>
      <x:c r="P35" s="13" t="n">
        <x:v>2</x:v>
      </x:c>
      <x:c r="Q35" s="11" t="str">
        <x:v>Ques</x:v>
      </x:c>
      <x:c r="R35" s="11" t="str">
        <x:v>Veteran model: 2025 form, prior-year trend and same team pass/run forecast; team pass volume #31, rush volume #2</x:v>
      </x:c>
    </x:row>
    <x:row r="36" ht="19" customHeight="1">
      <x:c r="A36" s="13" t="n">
        <x:v>32</x:v>
      </x:c>
      <x:c r="B36" s="12" t="n">
        <x:v>29.2</x:v>
      </x:c>
      <x:c r="C36" s="12" t="n">
        <x:f>B36-A36</x:f>
        <x:v>-2.8000000000000007</x:v>
      </x:c>
      <x:c r="D36" s="11" t="str">
        <x:v>Kyren Williams</x:v>
      </x:c>
      <x:c r="E36" s="11" t="str">
        <x:v>RB</x:v>
      </x:c>
      <x:c r="F36" s="11" t="str">
        <x:v>LAR</x:v>
      </x:c>
      <x:c r="G36" s="13" t="n">
        <x:v>11</x:v>
      </x:c>
      <x:c r="H36" s="12" t="n">
        <x:v>224.2</x:v>
      </x:c>
      <x:c r="I36" s="12" t="n">
        <x:v>208</x:v>
      </x:c>
      <x:c r="J36" s="12" t="n">
        <x:v>16.2</x:v>
      </x:c>
      <x:c r="K36" s="12" t="n">
        <x:v>218.5</x:v>
      </x:c>
      <x:c r="L36" s="12" t="n">
        <x:v>13.7</x:v>
      </x:c>
      <x:c r="M36" s="12" t="n">
        <x:v>33</x:v>
      </x:c>
      <x:c r="N36" s="11" t="str">
        <x:v>High</x:v>
      </x:c>
      <x:c r="O36" s="13" t="n">
        <x:v>7</x:v>
      </x:c>
      <x:c r="P36" s="13" t="n">
        <x:v>14</x:v>
      </x:c>
      <x:c r="Q36" s="11"/>
      <x:c r="R36" s="11" t="str">
        <x:v>Veteran model: 2025 form, prior-year trend and same team pass/run forecast; team pass volume #7, rush volume #14</x:v>
      </x:c>
    </x:row>
    <x:row r="37" ht="19" customHeight="1">
      <x:c r="A37" s="13" t="n">
        <x:v>33</x:v>
      </x:c>
      <x:c r="B37" s="12" t="n">
        <x:v>36.2</x:v>
      </x:c>
      <x:c r="C37" s="12" t="n">
        <x:f>B37-A37</x:f>
        <x:v>3.200000000000003</x:v>
      </x:c>
      <x:c r="D37" s="11" t="str">
        <x:v>Javonte Williams</x:v>
      </x:c>
      <x:c r="E37" s="11" t="str">
        <x:v>RB</x:v>
      </x:c>
      <x:c r="F37" s="11" t="str">
        <x:v>DAL</x:v>
      </x:c>
      <x:c r="G37" s="13" t="n">
        <x:v>14</x:v>
      </x:c>
      <x:c r="H37" s="12" t="n">
        <x:v>224.4</x:v>
      </x:c>
      <x:c r="I37" s="12" t="n">
        <x:v>207</x:v>
      </x:c>
      <x:c r="J37" s="12" t="n">
        <x:v>17.4</x:v>
      </x:c>
      <x:c r="K37" s="12" t="n">
        <x:v>218.3</x:v>
      </x:c>
      <x:c r="L37" s="12" t="n">
        <x:v>13.6</x:v>
      </x:c>
      <x:c r="M37" s="12" t="n">
        <x:v>32.6</x:v>
      </x:c>
      <x:c r="N37" s="11" t="str">
        <x:v>High</x:v>
      </x:c>
      <x:c r="O37" s="13" t="n">
        <x:v>2</x:v>
      </x:c>
      <x:c r="P37" s="13" t="n">
        <x:v>20</x:v>
      </x:c>
      <x:c r="Q37" s="11"/>
      <x:c r="R37" s="11" t="str">
        <x:v>Veteran model: 2025 form, prior-year trend and same team pass/run forecast; team pass volume #2, rush volume #20</x:v>
      </x:c>
    </x:row>
    <x:row r="38" ht="19" customHeight="1">
      <x:c r="A38" s="13" t="n">
        <x:v>34</x:v>
      </x:c>
      <x:c r="B38" s="12" t="n">
        <x:v>27</x:v>
      </x:c>
      <x:c r="C38" s="12" t="n">
        <x:f>B38-A38</x:f>
        <x:v>-7</x:v>
      </x:c>
      <x:c r="D38" s="11" t="str">
        <x:v>Rashee Rice</x:v>
      </x:c>
      <x:c r="E38" s="11" t="str">
        <x:v>WR</x:v>
      </x:c>
      <x:c r="F38" s="11" t="str">
        <x:v>KC</x:v>
      </x:c>
      <x:c r="G38" s="13" t="n">
        <x:v>5</x:v>
      </x:c>
      <x:c r="H38" s="12" t="n">
        <x:v>229.9</x:v>
      </x:c>
      <x:c r="I38" s="12" t="n">
        <x:v>229</x:v>
      </x:c>
      <x:c r="J38" s="12" t="n">
        <x:v>0.9</x:v>
      </x:c>
      <x:c r="K38" s="12" t="n">
        <x:v>229.5</x:v>
      </x:c>
      <x:c r="L38" s="12" t="n">
        <x:v>11.6</x:v>
      </x:c>
      <x:c r="M38" s="12" t="n">
        <x:v>32.5</x:v>
      </x:c>
      <x:c r="N38" s="11" t="str">
        <x:v>Medium</x:v>
      </x:c>
      <x:c r="O38" s="13" t="n">
        <x:v>5</x:v>
      </x:c>
      <x:c r="P38" s="13" t="n">
        <x:v>25</x:v>
      </x:c>
      <x:c r="Q38" s="11"/>
      <x:c r="R38" s="11" t="str">
        <x:v>Veteran model: 2025 form, prior-year trend and same team pass/run forecast; team pass volume #5, rush volume #25</x:v>
      </x:c>
    </x:row>
    <x:row r="39" ht="19" customHeight="1">
      <x:c r="A39" s="13" t="n">
        <x:v>35</x:v>
      </x:c>
      <x:c r="B39" s="12" t="n">
        <x:v>48.1</x:v>
      </x:c>
      <x:c r="C39" s="12" t="n">
        <x:f>B39-A39</x:f>
        <x:v>13.100000000000001</x:v>
      </x:c>
      <x:c r="D39" s="11" t="str">
        <x:v>Drake Maye</x:v>
      </x:c>
      <x:c r="E39" s="11" t="str">
        <x:v>QB</x:v>
      </x:c>
      <x:c r="F39" s="11" t="str">
        <x:v>NE</x:v>
      </x:c>
      <x:c r="G39" s="13" t="n">
        <x:v>11</x:v>
      </x:c>
      <x:c r="H39" s="12" t="n">
        <x:v>323.5</x:v>
      </x:c>
      <x:c r="I39" s="12" t="n">
        <x:v>321</x:v>
      </x:c>
      <x:c r="J39" s="12" t="n">
        <x:v>2.5</x:v>
      </x:c>
      <x:c r="K39" s="12" t="n">
        <x:v>322.7</x:v>
      </x:c>
      <x:c r="L39" s="12" t="n">
        <x:v>14.9</x:v>
      </x:c>
      <x:c r="M39" s="12" t="n">
        <x:v>32</x:v>
      </x:c>
      <x:c r="N39" s="11" t="str">
        <x:v>High</x:v>
      </x:c>
      <x:c r="O39" s="13" t="n">
        <x:v>27</x:v>
      </x:c>
      <x:c r="P39" s="13" t="n">
        <x:v>12</x:v>
      </x:c>
      <x:c r="Q39" s="11"/>
      <x:c r="R39" s="11" t="str">
        <x:v>Veteran model: 2025 form, prior-year trend and same team pass/run forecast; team pass volume #27, rush volume #12</x:v>
      </x:c>
    </x:row>
    <x:row r="40" ht="19" customHeight="1">
      <x:c r="A40" s="13" t="n">
        <x:v>36</x:v>
      </x:c>
      <x:c r="B40" s="12" t="n">
        <x:v>31.4</x:v>
      </x:c>
      <x:c r="C40" s="12" t="n">
        <x:f>B40-A40</x:f>
        <x:v>-4.600000000000001</x:v>
      </x:c>
      <x:c r="D40" s="11" t="str">
        <x:v>Josh Jacobs</x:v>
      </x:c>
      <x:c r="E40" s="11" t="str">
        <x:v>RB</x:v>
      </x:c>
      <x:c r="F40" s="11" t="str">
        <x:v>GB</x:v>
      </x:c>
      <x:c r="G40" s="13" t="n">
        <x:v>11</x:v>
      </x:c>
      <x:c r="H40" s="12" t="n">
        <x:v>228.4</x:v>
      </x:c>
      <x:c r="I40" s="12" t="n">
        <x:v>203</x:v>
      </x:c>
      <x:c r="J40" s="12" t="n">
        <x:v>25.4</x:v>
      </x:c>
      <x:c r="K40" s="12" t="n">
        <x:v>219.5</x:v>
      </x:c>
      <x:c r="L40" s="12" t="n">
        <x:v>12.4</x:v>
      </x:c>
      <x:c r="M40" s="12" t="n">
        <x:v>30.6</x:v>
      </x:c>
      <x:c r="N40" s="11" t="str">
        <x:v>High</x:v>
      </x:c>
      <x:c r="O40" s="13" t="n">
        <x:v>30</x:v>
      </x:c>
      <x:c r="P40" s="13" t="n">
        <x:v>4</x:v>
      </x:c>
      <x:c r="Q40" s="11" t="str">
        <x:v>Ques</x:v>
      </x:c>
      <x:c r="R40" s="11" t="str">
        <x:v>Veteran model: 2025 form, prior-year trend and same team pass/run forecast; team pass volume #30, rush volume #4</x:v>
      </x:c>
    </x:row>
    <x:row r="41" ht="19" customHeight="1">
      <x:c r="A41" s="13" t="n">
        <x:v>37</x:v>
      </x:c>
      <x:c r="B41" s="12" t="n">
        <x:v>57.3</x:v>
      </x:c>
      <x:c r="C41" s="12" t="n">
        <x:f>B41-A41</x:f>
        <x:v>20.299999999999997</x:v>
      </x:c>
      <x:c r="D41" s="11" t="str">
        <x:v>Jameson Williams</x:v>
      </x:c>
      <x:c r="E41" s="11" t="str">
        <x:v>WR</x:v>
      </x:c>
      <x:c r="F41" s="11" t="str">
        <x:v>DET</x:v>
      </x:c>
      <x:c r="G41" s="13" t="n">
        <x:v>6</x:v>
      </x:c>
      <x:c r="H41" s="12" t="n">
        <x:v>223.5</x:v>
      </x:c>
      <x:c r="I41" s="12" t="n">
        <x:v>206</x:v>
      </x:c>
      <x:c r="J41" s="12" t="n">
        <x:v>17.5</x:v>
      </x:c>
      <x:c r="K41" s="12" t="n">
        <x:v>217.4</x:v>
      </x:c>
      <x:c r="L41" s="12" t="n">
        <x:v>14.5</x:v>
      </x:c>
      <x:c r="M41" s="12" t="n">
        <x:v>30.4</x:v>
      </x:c>
      <x:c r="N41" s="11" t="str">
        <x:v>High</x:v>
      </x:c>
      <x:c r="O41" s="13" t="n">
        <x:v>10</x:v>
      </x:c>
      <x:c r="P41" s="13" t="n">
        <x:v>7</x:v>
      </x:c>
      <x:c r="Q41" s="11"/>
      <x:c r="R41" s="11" t="str">
        <x:v>Veteran model: 2025 form, prior-year trend and same team pass/run forecast; team pass volume #10, rush volume #7</x:v>
      </x:c>
    </x:row>
    <x:row r="42" ht="19" customHeight="1">
      <x:c r="A42" s="13" t="n">
        <x:v>38</x:v>
      </x:c>
      <x:c r="B42" s="12" t="n">
        <x:v>34.8</x:v>
      </x:c>
      <x:c r="C42" s="12" t="n">
        <x:f>B42-A42</x:f>
        <x:v>-3.200000000000003</x:v>
      </x:c>
      <x:c r="D42" s="11" t="str">
        <x:v>Tetairoa McMillan</x:v>
      </x:c>
      <x:c r="E42" s="11" t="str">
        <x:v>WR</x:v>
      </x:c>
      <x:c r="F42" s="11" t="str">
        <x:v>CAR</x:v>
      </x:c>
      <x:c r="G42" s="13" t="n">
        <x:v>5</x:v>
      </x:c>
      <x:c r="H42" s="12" t="n">
        <x:v>210.6</x:v>
      </x:c>
      <x:c r="I42" s="12" t="n">
        <x:v>223</x:v>
      </x:c>
      <x:c r="J42" s="12" t="n">
        <x:v>-12.4</x:v>
      </x:c>
      <x:c r="K42" s="12" t="n">
        <x:v>216.8</x:v>
      </x:c>
      <x:c r="L42" s="12" t="n">
        <x:v>14.2</x:v>
      </x:c>
      <x:c r="M42" s="12" t="n">
        <x:v>29.2</x:v>
      </x:c>
      <x:c r="N42" s="11" t="str">
        <x:v>Medium</x:v>
      </x:c>
      <x:c r="O42" s="13" t="n">
        <x:v>22</x:v>
      </x:c>
      <x:c r="P42" s="13" t="n">
        <x:v>23</x:v>
      </x:c>
      <x:c r="Q42" s="11"/>
      <x:c r="R42" s="11" t="str">
        <x:v>Veteran model: 2025 form, prior-year trend and same team pass/run forecast; team pass volume #22, rush volume #23</x:v>
      </x:c>
    </x:row>
    <x:row r="43" ht="19" customHeight="1">
      <x:c r="A43" s="13" t="n">
        <x:v>39</x:v>
      </x:c>
      <x:c r="B43" s="12" t="n">
        <x:v>55.1</x:v>
      </x:c>
      <x:c r="C43" s="12" t="n">
        <x:f>B43-A43</x:f>
        <x:v>16.1</x:v>
      </x:c>
      <x:c r="D43" s="11" t="str">
        <x:v>D'Andre Swift</x:v>
      </x:c>
      <x:c r="E43" s="11" t="str">
        <x:v>RB</x:v>
      </x:c>
      <x:c r="F43" s="11" t="str">
        <x:v>CHI</x:v>
      </x:c>
      <x:c r="G43" s="13" t="n">
        <x:v>10</x:v>
      </x:c>
      <x:c r="H43" s="12" t="n">
        <x:v>219.1</x:v>
      </x:c>
      <x:c r="I43" s="12" t="n">
        <x:v>208</x:v>
      </x:c>
      <x:c r="J43" s="12" t="n">
        <x:v>11.1</x:v>
      </x:c>
      <x:c r="K43" s="12" t="n">
        <x:v>215.2</x:v>
      </x:c>
      <x:c r="L43" s="12" t="n">
        <x:v>13.1</x:v>
      </x:c>
      <x:c r="M43" s="12" t="n">
        <x:v>29</x:v>
      </x:c>
      <x:c r="N43" s="11" t="str">
        <x:v>High</x:v>
      </x:c>
      <x:c r="O43" s="13" t="n">
        <x:v>13</x:v>
      </x:c>
      <x:c r="P43" s="13" t="n">
        <x:v>6</x:v>
      </x:c>
      <x:c r="Q43" s="11"/>
      <x:c r="R43" s="11" t="str">
        <x:v>Veteran model: 2025 form, prior-year trend and same team pass/run forecast; team pass volume #13, rush volume #6</x:v>
      </x:c>
    </x:row>
    <x:row r="44" ht="19" customHeight="1">
      <x:c r="A44" s="13" t="n">
        <x:v>40</x:v>
      </x:c>
      <x:c r="B44" s="12" t="n">
        <x:v>27.8</x:v>
      </x:c>
      <x:c r="C44" s="12" t="n">
        <x:f>B44-A44</x:f>
        <x:v>-12.2</x:v>
      </x:c>
      <x:c r="D44" s="11" t="str">
        <x:v>Malik Nabers</x:v>
      </x:c>
      <x:c r="E44" s="11" t="str">
        <x:v>WR</x:v>
      </x:c>
      <x:c r="F44" s="11" t="str">
        <x:v>NYG</x:v>
      </x:c>
      <x:c r="G44" s="13" t="n">
        <x:v>8</x:v>
      </x:c>
      <x:c r="H44" s="12" t="n">
        <x:v>222</x:v>
      </x:c>
      <x:c r="I44" s="12" t="n">
        <x:v>227</x:v>
      </x:c>
      <x:c r="J44" s="12" t="n">
        <x:v>-5</x:v>
      </x:c>
      <x:c r="K44" s="12" t="n">
        <x:v>225.8</x:v>
      </x:c>
      <x:c r="L44" s="12" t="n">
        <x:v>10.4</x:v>
      </x:c>
      <x:c r="M44" s="12" t="n">
        <x:v>26.9</x:v>
      </x:c>
      <x:c r="N44" s="11" t="str">
        <x:v>Low</x:v>
      </x:c>
      <x:c r="O44" s="13" t="n">
        <x:v>19</x:v>
      </x:c>
      <x:c r="P44" s="13" t="n">
        <x:v>10</x:v>
      </x:c>
      <x:c r="Q44" s="11" t="str">
        <x:v>Ques</x:v>
      </x:c>
      <x:c r="R44" s="11" t="str">
        <x:v>Veteran model: 2025 form, prior-year trend and same team pass/run forecast; team pass volume #19, rush volume #10</x:v>
      </x:c>
    </x:row>
    <x:row r="45" ht="19" customHeight="1">
      <x:c r="A45" s="13" t="n">
        <x:v>41</x:v>
      </x:c>
      <x:c r="B45" s="12" t="n">
        <x:v>44.7</x:v>
      </x:c>
      <x:c r="C45" s="12" t="n">
        <x:f>B45-A45</x:f>
        <x:v>3.700000000000003</x:v>
      </x:c>
      <x:c r="D45" s="11" t="str">
        <x:v>Travis Etienne</x:v>
      </x:c>
      <x:c r="E45" s="11" t="str">
        <x:v>RB</x:v>
      </x:c>
      <x:c r="F45" s="11" t="str">
        <x:v>NO</x:v>
      </x:c>
      <x:c r="G45" s="13" t="n">
        <x:v>8</x:v>
      </x:c>
      <x:c r="H45" s="12" t="n">
        <x:v>211.2</x:v>
      </x:c>
      <x:c r="I45" s="12" t="n">
        <x:v>208</x:v>
      </x:c>
      <x:c r="J45" s="12" t="n">
        <x:v>3.2</x:v>
      </x:c>
      <x:c r="K45" s="12" t="n">
        <x:v>210.1</x:v>
      </x:c>
      <x:c r="L45" s="12" t="n">
        <x:v>13.8</x:v>
      </x:c>
      <x:c r="M45" s="12" t="n">
        <x:v>26.4</x:v>
      </x:c>
      <x:c r="N45" s="11" t="str">
        <x:v>High</x:v>
      </x:c>
      <x:c r="O45" s="13" t="n">
        <x:v>8</x:v>
      </x:c>
      <x:c r="P45" s="13" t="n">
        <x:v>22</x:v>
      </x:c>
      <x:c r="Q45" s="11"/>
      <x:c r="R45" s="11" t="str">
        <x:v>Veteran model: 2025 form, prior-year trend and new team pass/run forecast; team pass volume #8, rush volume #22</x:v>
      </x:c>
    </x:row>
    <x:row r="46" ht="19" customHeight="1">
      <x:c r="A46" s="13" t="n">
        <x:v>42</x:v>
      </x:c>
      <x:c r="B46" s="12" t="n">
        <x:v>34.2</x:v>
      </x:c>
      <x:c r="C46" s="12" t="n">
        <x:f>B46-A46</x:f>
        <x:v>-7.799999999999997</x:v>
      </x:c>
      <x:c r="D46" s="11" t="str">
        <x:v>Tee Higgins</x:v>
      </x:c>
      <x:c r="E46" s="11" t="str">
        <x:v>WR</x:v>
      </x:c>
      <x:c r="F46" s="11" t="str">
        <x:v>CIN</x:v>
      </x:c>
      <x:c r="G46" s="13" t="n">
        <x:v>6</x:v>
      </x:c>
      <x:c r="H46" s="12" t="n">
        <x:v>216.3</x:v>
      </x:c>
      <x:c r="I46" s="12" t="n">
        <x:v>224</x:v>
      </x:c>
      <x:c r="J46" s="12" t="n">
        <x:v>-7.7</x:v>
      </x:c>
      <x:c r="K46" s="12" t="n">
        <x:v>219</x:v>
      </x:c>
      <x:c r="L46" s="12" t="n">
        <x:v>12</x:v>
      </x:c>
      <x:c r="M46" s="12" t="n">
        <x:v>26.3</x:v>
      </x:c>
      <x:c r="N46" s="11" t="str">
        <x:v>High</x:v>
      </x:c>
      <x:c r="O46" s="13" t="n">
        <x:v>1</x:v>
      </x:c>
      <x:c r="P46" s="13" t="n">
        <x:v>31</x:v>
      </x:c>
      <x:c r="Q46" s="11"/>
      <x:c r="R46" s="11" t="str">
        <x:v>Veteran model: 2025 form, prior-year trend and same team pass/run forecast; team pass volume #1, rush volume #31</x:v>
      </x:c>
    </x:row>
    <x:row r="47" ht="19" customHeight="1">
      <x:c r="A47" s="13" t="n">
        <x:v>43</x:v>
      </x:c>
      <x:c r="B47" s="12" t="n">
        <x:v>38.6</x:v>
      </x:c>
      <x:c r="C47" s="12" t="n">
        <x:f>B47-A47</x:f>
        <x:v>-4.399999999999999</x:v>
      </x:c>
      <x:c r="D47" s="11" t="str">
        <x:v>Ladd McConkey</x:v>
      </x:c>
      <x:c r="E47" s="11" t="str">
        <x:v>WR</x:v>
      </x:c>
      <x:c r="F47" s="11" t="str">
        <x:v>LAC</x:v>
      </x:c>
      <x:c r="G47" s="13" t="n">
        <x:v>7</x:v>
      </x:c>
      <x:c r="H47" s="12" t="n">
        <x:v>209.4</x:v>
      </x:c>
      <x:c r="I47" s="12" t="n">
        <x:v>228</x:v>
      </x:c>
      <x:c r="J47" s="12" t="n">
        <x:v>-18.6</x:v>
      </x:c>
      <x:c r="K47" s="12" t="n">
        <x:v>215.9</x:v>
      </x:c>
      <x:c r="L47" s="12" t="n">
        <x:v>12.9</x:v>
      </x:c>
      <x:c r="M47" s="12" t="n">
        <x:v>25.9</x:v>
      </x:c>
      <x:c r="N47" s="11" t="str">
        <x:v>High</x:v>
      </x:c>
      <x:c r="O47" s="13" t="n">
        <x:v>14</x:v>
      </x:c>
      <x:c r="P47" s="13" t="n">
        <x:v>16</x:v>
      </x:c>
      <x:c r="Q47" s="11"/>
      <x:c r="R47" s="11" t="str">
        <x:v>Veteran model: 2025 form, prior-year trend and same team pass/run forecast; team pass volume #14, rush volume #16</x:v>
      </x:c>
    </x:row>
    <x:row r="48" ht="19" customHeight="1">
      <x:c r="A48" s="13" t="n">
        <x:v>44</x:v>
      </x:c>
      <x:c r="B48" s="12" t="n">
        <x:v>46</x:v>
      </x:c>
      <x:c r="C48" s="12" t="n">
        <x:f>B48-A48</x:f>
        <x:v>2</x:v>
      </x:c>
      <x:c r="D48" s="11" t="str">
        <x:v>Tyler Warren</x:v>
      </x:c>
      <x:c r="E48" s="11" t="str">
        <x:v>TE</x:v>
      </x:c>
      <x:c r="F48" s="11" t="str">
        <x:v>IND</x:v>
      </x:c>
      <x:c r="G48" s="13" t="n">
        <x:v>13</x:v>
      </x:c>
      <x:c r="H48" s="12" t="n">
        <x:v>159.9</x:v>
      </x:c>
      <x:c r="I48" s="12" t="n">
        <x:v>201</x:v>
      </x:c>
      <x:c r="J48" s="12" t="n">
        <x:v>-41.1</x:v>
      </x:c>
      <x:c r="K48" s="12" t="n">
        <x:v>180.4</x:v>
      </x:c>
      <x:c r="L48" s="12" t="n">
        <x:v>16.2</x:v>
      </x:c>
      <x:c r="M48" s="12" t="n">
        <x:v>25.9</x:v>
      </x:c>
      <x:c r="N48" s="11" t="str">
        <x:v>Medium</x:v>
      </x:c>
      <x:c r="O48" s="13" t="n">
        <x:v>21</x:v>
      </x:c>
      <x:c r="P48" s="13" t="n">
        <x:v>13</x:v>
      </x:c>
      <x:c r="Q48" s="11" t="str">
        <x:v>Ques</x:v>
      </x:c>
      <x:c r="R48" s="11" t="str">
        <x:v>Veteran model: 2025 form, prior-year trend and same team pass/run forecast; team pass volume #21, rush volume #13</x:v>
      </x:c>
    </x:row>
    <x:row r="49" ht="19" customHeight="1">
      <x:c r="A49" s="13" t="n">
        <x:v>45</x:v>
      </x:c>
      <x:c r="B49" s="12" t="n">
        <x:v>19.9</x:v>
      </x:c>
      <x:c r="C49" s="12" t="n">
        <x:f>B49-A49</x:f>
        <x:v>-25.1</x:v>
      </x:c>
      <x:c r="D49" s="11" t="str">
        <x:v>Kenneth Walker</x:v>
      </x:c>
      <x:c r="E49" s="11" t="str">
        <x:v>RB</x:v>
      </x:c>
      <x:c r="F49" s="11" t="str">
        <x:v>KC</x:v>
      </x:c>
      <x:c r="G49" s="13" t="n">
        <x:v>5</x:v>
      </x:c>
      <x:c r="H49" s="12" t="n">
        <x:v>191.6</x:v>
      </x:c>
      <x:c r="I49" s="12" t="n">
        <x:v>244</x:v>
      </x:c>
      <x:c r="J49" s="12" t="n">
        <x:v>-52.4</x:v>
      </x:c>
      <x:c r="K49" s="12" t="n">
        <x:v>209.9</x:v>
      </x:c>
      <x:c r="L49" s="12" t="n">
        <x:v>13.6</x:v>
      </x:c>
      <x:c r="M49" s="12" t="n">
        <x:v>25.8</x:v>
      </x:c>
      <x:c r="N49" s="11" t="str">
        <x:v>High</x:v>
      </x:c>
      <x:c r="O49" s="13" t="n">
        <x:v>5</x:v>
      </x:c>
      <x:c r="P49" s="13" t="n">
        <x:v>25</x:v>
      </x:c>
      <x:c r="Q49" s="11"/>
      <x:c r="R49" s="11" t="str">
        <x:v>Veteran model: 2025 form, prior-year trend and new team pass/run forecast; team pass volume #5, rush volume #25</x:v>
      </x:c>
    </x:row>
    <x:row r="50" ht="19" customHeight="1">
      <x:c r="A50" s="13" t="n">
        <x:v>46</x:v>
      </x:c>
      <x:c r="B50" s="12" t="n">
        <x:v>40.5</x:v>
      </x:c>
      <x:c r="C50" s="12" t="n">
        <x:f>B50-A50</x:f>
        <x:v>-5.5</x:v>
      </x:c>
      <x:c r="D50" s="11" t="str">
        <x:v>Emeka Egbuka</x:v>
      </x:c>
      <x:c r="E50" s="11" t="str">
        <x:v>WR</x:v>
      </x:c>
      <x:c r="F50" s="11" t="str">
        <x:v>TB</x:v>
      </x:c>
      <x:c r="G50" s="13" t="n">
        <x:v>10</x:v>
      </x:c>
      <x:c r="H50" s="12" t="n">
        <x:v>198.9</x:v>
      </x:c>
      <x:c r="I50" s="12" t="n">
        <x:v>224</x:v>
      </x:c>
      <x:c r="J50" s="12" t="n">
        <x:v>-25.1</x:v>
      </x:c>
      <x:c r="K50" s="12" t="n">
        <x:v>211.4</x:v>
      </x:c>
      <x:c r="L50" s="12" t="n">
        <x:v>14.2</x:v>
      </x:c>
      <x:c r="M50" s="12" t="n">
        <x:v>24.7</x:v>
      </x:c>
      <x:c r="N50" s="11" t="str">
        <x:v>Medium</x:v>
      </x:c>
      <x:c r="O50" s="13" t="n">
        <x:v>12</x:v>
      </x:c>
      <x:c r="P50" s="13" t="n">
        <x:v>11</x:v>
      </x:c>
      <x:c r="Q50" s="11" t="str">
        <x:v>Ques</x:v>
      </x:c>
      <x:c r="R50" s="11" t="str">
        <x:v>Veteran model: 2025 form, prior-year trend and same team pass/run forecast; team pass volume #12, rush volume #11</x:v>
      </x:c>
    </x:row>
    <x:row r="51" ht="19" customHeight="1">
      <x:c r="A51" s="13" t="n">
        <x:v>47</x:v>
      </x:c>
      <x:c r="B51" s="12" t="n">
        <x:v>71.9</x:v>
      </x:c>
      <x:c r="C51" s="12" t="n">
        <x:f>B51-A51</x:f>
        <x:v>24.900000000000006</x:v>
      </x:c>
      <x:c r="D51" s="11" t="str">
        <x:v>Caleb Williams</x:v>
      </x:c>
      <x:c r="E51" s="11" t="str">
        <x:v>QB</x:v>
      </x:c>
      <x:c r="F51" s="11" t="str">
        <x:v>CHI</x:v>
      </x:c>
      <x:c r="G51" s="13" t="n">
        <x:v>10</x:v>
      </x:c>
      <x:c r="H51" s="12" t="n">
        <x:v>319.6</x:v>
      </x:c>
      <x:c r="I51" s="12" t="n">
        <x:v>299</x:v>
      </x:c>
      <x:c r="J51" s="12" t="n">
        <x:v>20.6</x:v>
      </x:c>
      <x:c r="K51" s="12" t="n">
        <x:v>312.4</x:v>
      </x:c>
      <x:c r="L51" s="12" t="n">
        <x:v>15.4</x:v>
      </x:c>
      <x:c r="M51" s="12" t="n">
        <x:v>23.7</x:v>
      </x:c>
      <x:c r="N51" s="11" t="str">
        <x:v>High</x:v>
      </x:c>
      <x:c r="O51" s="13" t="n">
        <x:v>13</x:v>
      </x:c>
      <x:c r="P51" s="13" t="n">
        <x:v>6</x:v>
      </x:c>
      <x:c r="Q51" s="11"/>
      <x:c r="R51" s="11" t="str">
        <x:v>Veteran model: 2025 form, prior-year trend and same team pass/run forecast; team pass volume #13, rush volume #6</x:v>
      </x:c>
    </x:row>
    <x:row r="52" ht="19" customHeight="1">
      <x:c r="A52" s="13" t="n">
        <x:v>48</x:v>
      </x:c>
      <x:c r="B52" s="12" t="n">
        <x:v>60.1</x:v>
      </x:c>
      <x:c r="C52" s="12" t="n">
        <x:f>B52-A52</x:f>
        <x:v>12.100000000000001</x:v>
      </x:c>
      <x:c r="D52" s="11" t="str">
        <x:v>Sam LaPorta</x:v>
      </x:c>
      <x:c r="E52" s="11" t="str">
        <x:v>TE</x:v>
      </x:c>
      <x:c r="F52" s="11" t="str">
        <x:v>DET</x:v>
      </x:c>
      <x:c r="G52" s="13" t="n">
        <x:v>6</x:v>
      </x:c>
      <x:c r="H52" s="12" t="n">
        <x:v>162.6</x:v>
      </x:c>
      <x:c r="I52" s="12" t="n">
        <x:v>197</x:v>
      </x:c>
      <x:c r="J52" s="12" t="n">
        <x:v>-34.4</x:v>
      </x:c>
      <x:c r="K52" s="12" t="n">
        <x:v>179.8</x:v>
      </x:c>
      <x:c r="L52" s="12" t="n">
        <x:v>13.6</x:v>
      </x:c>
      <x:c r="M52" s="12" t="n">
        <x:v>21.3</x:v>
      </x:c>
      <x:c r="N52" s="11" t="str">
        <x:v>Medium</x:v>
      </x:c>
      <x:c r="O52" s="13" t="n">
        <x:v>10</x:v>
      </x:c>
      <x:c r="P52" s="13" t="n">
        <x:v>7</x:v>
      </x:c>
      <x:c r="Q52" s="11" t="str">
        <x:v>Ques</x:v>
      </x:c>
      <x:c r="R52" s="11" t="str">
        <x:v>Veteran model: 2025 form, prior-year trend and same team pass/run forecast; team pass volume #10, rush volume #7</x:v>
      </x:c>
    </x:row>
    <x:row r="53" ht="19" customHeight="1">
      <x:c r="A53" s="13" t="n">
        <x:v>49</x:v>
      </x:c>
      <x:c r="B53" s="12" t="n">
        <x:v>45.8</x:v>
      </x:c>
      <x:c r="C53" s="12" t="n">
        <x:f>B53-A53</x:f>
        <x:v>-3.200000000000003</x:v>
      </x:c>
      <x:c r="D53" s="11" t="str">
        <x:v>Garrett Wilson</x:v>
      </x:c>
      <x:c r="E53" s="11" t="str">
        <x:v>WR</x:v>
      </x:c>
      <x:c r="F53" s="11" t="str">
        <x:v>NYJ</x:v>
      </x:c>
      <x:c r="G53" s="13" t="n">
        <x:v>13</x:v>
      </x:c>
      <x:c r="H53" s="12" t="n">
        <x:v>203.5</x:v>
      </x:c>
      <x:c r="I53" s="12" t="n">
        <x:v>225</x:v>
      </x:c>
      <x:c r="J53" s="12" t="n">
        <x:v>-21.5</x:v>
      </x:c>
      <x:c r="K53" s="12" t="n">
        <x:v>214.3</x:v>
      </x:c>
      <x:c r="L53" s="12" t="n">
        <x:v>10.4</x:v>
      </x:c>
      <x:c r="M53" s="12" t="n">
        <x:v>19.9</x:v>
      </x:c>
      <x:c r="N53" s="11" t="str">
        <x:v>Medium</x:v>
      </x:c>
      <x:c r="O53" s="13" t="n">
        <x:v>20</x:v>
      </x:c>
      <x:c r="P53" s="13" t="n">
        <x:v>28</x:v>
      </x:c>
      <x:c r="Q53" s="11"/>
      <x:c r="R53" s="11" t="str">
        <x:v>Veteran model: 2025 form, prior-year trend and same team pass/run forecast; team pass volume #20, rush volume #28</x:v>
      </x:c>
    </x:row>
    <x:row r="54" ht="19" customHeight="1">
      <x:c r="A54" s="13" t="n">
        <x:v>50</x:v>
      </x:c>
      <x:c r="B54" s="12" t="n">
        <x:v>65.6</x:v>
      </x:c>
      <x:c r="C54" s="12" t="n">
        <x:f>B54-A54</x:f>
        <x:v>15.599999999999994</x:v>
      </x:c>
      <x:c r="D54" s="11" t="str">
        <x:v>Tucker Kraft</x:v>
      </x:c>
      <x:c r="E54" s="11" t="str">
        <x:v>TE</x:v>
      </x:c>
      <x:c r="F54" s="11" t="str">
        <x:v>GB</x:v>
      </x:c>
      <x:c r="G54" s="13" t="n">
        <x:v>11</x:v>
      </x:c>
      <x:c r="H54" s="12" t="n">
        <x:v>180.1</x:v>
      </x:c>
      <x:c r="I54" s="12" t="n">
        <x:v>174</x:v>
      </x:c>
      <x:c r="J54" s="12" t="n">
        <x:v>6.1</x:v>
      </x:c>
      <x:c r="K54" s="12" t="n">
        <x:v>177</x:v>
      </x:c>
      <x:c r="L54" s="12" t="n">
        <x:v>13.7</x:v>
      </x:c>
      <x:c r="M54" s="12" t="n">
        <x:v>19.2</x:v>
      </x:c>
      <x:c r="N54" s="11" t="str">
        <x:v>Medium</x:v>
      </x:c>
      <x:c r="O54" s="13" t="n">
        <x:v>30</x:v>
      </x:c>
      <x:c r="P54" s="13" t="n">
        <x:v>4</x:v>
      </x:c>
      <x:c r="Q54" s="11" t="str">
        <x:v>Ques</x:v>
      </x:c>
      <x:c r="R54" s="11" t="str">
        <x:v>Veteran model: 2025 form, prior-year trend and same team pass/run forecast; team pass volume #30, rush volume #4</x:v>
      </x:c>
    </x:row>
    <x:row r="55" ht="19" customHeight="1">
      <x:c r="A55" s="13" t="n">
        <x:v>51</x:v>
      </x:c>
      <x:c r="B55" s="12" t="n">
        <x:v>53.2</x:v>
      </x:c>
      <x:c r="C55" s="12" t="n">
        <x:f>B55-A55</x:f>
        <x:v>2.200000000000003</x:v>
      </x:c>
      <x:c r="D55" s="11" t="str">
        <x:v>Quinshon Judkins</x:v>
      </x:c>
      <x:c r="E55" s="11" t="str">
        <x:v>RB</x:v>
      </x:c>
      <x:c r="F55" s="11" t="str">
        <x:v>CLE</x:v>
      </x:c>
      <x:c r="G55" s="13" t="n">
        <x:v>11</x:v>
      </x:c>
      <x:c r="H55" s="12" t="n">
        <x:v>204</x:v>
      </x:c>
      <x:c r="I55" s="12" t="n">
        <x:v>196</x:v>
      </x:c>
      <x:c r="J55" s="12" t="n">
        <x:v>8</x:v>
      </x:c>
      <x:c r="K55" s="12" t="n">
        <x:v>200</x:v>
      </x:c>
      <x:c r="L55" s="12" t="n">
        <x:v>12.9</x:v>
      </x:c>
      <x:c r="M55" s="12" t="n">
        <x:v>17</x:v>
      </x:c>
      <x:c r="N55" s="11" t="str">
        <x:v>Medium</x:v>
      </x:c>
      <x:c r="O55" s="13" t="n">
        <x:v>4</x:v>
      </x:c>
      <x:c r="P55" s="13" t="n">
        <x:v>26</x:v>
      </x:c>
      <x:c r="Q55" s="11" t="str">
        <x:v>Ques</x:v>
      </x:c>
      <x:c r="R55" s="11" t="str">
        <x:v>Veteran model: 2025 form, prior-year trend and same team pass/run forecast; team pass volume #4, rush volume #26</x:v>
      </x:c>
    </x:row>
    <x:row r="56" ht="19" customHeight="1">
      <x:c r="A56" s="13" t="n">
        <x:v>52</x:v>
      </x:c>
      <x:c r="B56" s="12" t="n">
        <x:v>39.3</x:v>
      </x:c>
      <x:c r="C56" s="12" t="n">
        <x:f>B56-A56</x:f>
        <x:v>-12.700000000000003</x:v>
      </x:c>
      <x:c r="D56" s="11" t="str">
        <x:v>Bucky Irving</x:v>
      </x:c>
      <x:c r="E56" s="11" t="str">
        <x:v>RB</x:v>
      </x:c>
      <x:c r="F56" s="11" t="str">
        <x:v>TB</x:v>
      </x:c>
      <x:c r="G56" s="13" t="n">
        <x:v>10</x:v>
      </x:c>
      <x:c r="H56" s="12" t="n">
        <x:v>204.4</x:v>
      </x:c>
      <x:c r="I56" s="12" t="n">
        <x:v>197</x:v>
      </x:c>
      <x:c r="J56" s="12" t="n">
        <x:v>7.4</x:v>
      </x:c>
      <x:c r="K56" s="12" t="n">
        <x:v>200.7</x:v>
      </x:c>
      <x:c r="L56" s="12" t="n">
        <x:v>11.7</x:v>
      </x:c>
      <x:c r="M56" s="12" t="n">
        <x:v>15.9</x:v>
      </x:c>
      <x:c r="N56" s="11" t="str">
        <x:v>Medium</x:v>
      </x:c>
      <x:c r="O56" s="13" t="n">
        <x:v>12</x:v>
      </x:c>
      <x:c r="P56" s="13" t="n">
        <x:v>11</x:v>
      </x:c>
      <x:c r="Q56" s="11"/>
      <x:c r="R56" s="11" t="str">
        <x:v>Veteran model: 2025 form, prior-year trend and same team pass/run forecast; team pass volume #12, rush volume #11</x:v>
      </x:c>
    </x:row>
    <x:row r="57" ht="19" customHeight="1">
      <x:c r="A57" s="13" t="n">
        <x:v>53</x:v>
      </x:c>
      <x:c r="B57" s="12" t="n">
        <x:v>43.7</x:v>
      </x:c>
      <x:c r="C57" s="12" t="n">
        <x:f>B57-A57</x:f>
        <x:v>-9.299999999999997</x:v>
      </x:c>
      <x:c r="D57" s="11" t="str">
        <x:v>Cam Skattebo</x:v>
      </x:c>
      <x:c r="E57" s="11" t="str">
        <x:v>RB</x:v>
      </x:c>
      <x:c r="F57" s="11" t="str">
        <x:v>NYG</x:v>
      </x:c>
      <x:c r="G57" s="13" t="n">
        <x:v>8</x:v>
      </x:c>
      <x:c r="H57" s="12" t="n">
        <x:v>200.8</x:v>
      </x:c>
      <x:c r="I57" s="12" t="n">
        <x:v>201</x:v>
      </x:c>
      <x:c r="J57" s="12" t="n">
        <x:v>-0.2</x:v>
      </x:c>
      <x:c r="K57" s="12" t="n">
        <x:v>200.9</x:v>
      </x:c>
      <x:c r="L57" s="12" t="n">
        <x:v>10.9</x:v>
      </x:c>
      <x:c r="M57" s="12" t="n">
        <x:v>14.9</x:v>
      </x:c>
      <x:c r="N57" s="11" t="str">
        <x:v>Medium</x:v>
      </x:c>
      <x:c r="O57" s="13" t="n">
        <x:v>19</x:v>
      </x:c>
      <x:c r="P57" s="13" t="n">
        <x:v>10</x:v>
      </x:c>
      <x:c r="Q57" s="11"/>
      <x:c r="R57" s="11" t="str">
        <x:v>Veteran model: 2025 form, prior-year trend and same team pass/run forecast; team pass volume #19, rush volume #10</x:v>
      </x:c>
    </x:row>
    <x:row r="58" ht="19" customHeight="1">
      <x:c r="A58" s="13" t="n">
        <x:v>54</x:v>
      </x:c>
      <x:c r="B58" s="12" t="n">
        <x:v>48.2</x:v>
      </x:c>
      <x:c r="C58" s="12" t="n">
        <x:f>B58-A58</x:f>
        <x:v>-5.799999999999997</x:v>
      </x:c>
      <x:c r="D58" s="11" t="str">
        <x:v>Davante Adams</x:v>
      </x:c>
      <x:c r="E58" s="11" t="str">
        <x:v>WR</x:v>
      </x:c>
      <x:c r="F58" s="11" t="str">
        <x:v>LAR</x:v>
      </x:c>
      <x:c r="G58" s="13" t="n">
        <x:v>11</x:v>
      </x:c>
      <x:c r="H58" s="12" t="n">
        <x:v>209.8</x:v>
      </x:c>
      <x:c r="I58" s="12" t="n">
        <x:v>193</x:v>
      </x:c>
      <x:c r="J58" s="12" t="n">
        <x:v>16.8</x:v>
      </x:c>
      <x:c r="K58" s="12" t="n">
        <x:v>204</x:v>
      </x:c>
      <x:c r="L58" s="12" t="n">
        <x:v>11.1</x:v>
      </x:c>
      <x:c r="M58" s="12" t="n">
        <x:v>14.5</x:v>
      </x:c>
      <x:c r="N58" s="11" t="str">
        <x:v>High</x:v>
      </x:c>
      <x:c r="O58" s="13" t="n">
        <x:v>7</x:v>
      </x:c>
      <x:c r="P58" s="13" t="n">
        <x:v>14</x:v>
      </x:c>
      <x:c r="Q58" s="11"/>
      <x:c r="R58" s="11" t="str">
        <x:v>Veteran model: 2025 form, prior-year trend and same team pass/run forecast; team pass volume #7, rush volume #14</x:v>
      </x:c>
    </x:row>
    <x:row r="59" ht="19" customHeight="1">
      <x:c r="A59" s="13" t="n">
        <x:v>55</x:v>
      </x:c>
      <x:c r="B59" s="12" t="n">
        <x:v>47.7</x:v>
      </x:c>
      <x:c r="C59" s="12" t="n">
        <x:f>B59-A59</x:f>
        <x:v>-7.299999999999997</x:v>
      </x:c>
      <x:c r="D59" s="11" t="str">
        <x:v>Jaylen Waddle</x:v>
      </x:c>
      <x:c r="E59" s="11" t="str">
        <x:v>WR</x:v>
      </x:c>
      <x:c r="F59" s="11" t="str">
        <x:v>DEN</x:v>
      </x:c>
      <x:c r="G59" s="13" t="n">
        <x:v>10</x:v>
      </x:c>
      <x:c r="H59" s="12" t="n">
        <x:v>186</x:v>
      </x:c>
      <x:c r="I59" s="12" t="n">
        <x:v>221</x:v>
      </x:c>
      <x:c r="J59" s="12" t="n">
        <x:v>-35</x:v>
      </x:c>
      <x:c r="K59" s="12" t="n">
        <x:v>198.2</x:v>
      </x:c>
      <x:c r="L59" s="12" t="n">
        <x:v>14.9</x:v>
      </x:c>
      <x:c r="M59" s="12" t="n">
        <x:v>14.4</x:v>
      </x:c>
      <x:c r="N59" s="11" t="str">
        <x:v>High</x:v>
      </x:c>
      <x:c r="O59" s="13" t="n">
        <x:v>6</x:v>
      </x:c>
      <x:c r="P59" s="13" t="n">
        <x:v>19</x:v>
      </x:c>
      <x:c r="Q59" s="11"/>
      <x:c r="R59" s="11" t="str">
        <x:v>Veteran model: 2025 form, prior-year trend and new team pass/run forecast; team pass volume #6, rush volume #19</x:v>
      </x:c>
    </x:row>
    <x:row r="60" ht="19" customHeight="1">
      <x:c r="A60" s="13" t="n">
        <x:v>56</x:v>
      </x:c>
      <x:c r="B60" s="12" t="n">
        <x:v>62.9</x:v>
      </x:c>
      <x:c r="C60" s="12" t="n">
        <x:f>B60-A60</x:f>
        <x:v>6.899999999999999</x:v>
      </x:c>
      <x:c r="D60" s="11" t="str">
        <x:v>Jalen Hurts</x:v>
      </x:c>
      <x:c r="E60" s="11" t="str">
        <x:v>QB</x:v>
      </x:c>
      <x:c r="F60" s="11" t="str">
        <x:v>PHI</x:v>
      </x:c>
      <x:c r="G60" s="13" t="n">
        <x:v>10</x:v>
      </x:c>
      <x:c r="H60" s="12" t="n">
        <x:v>301.6</x:v>
      </x:c>
      <x:c r="I60" s="12" t="n">
        <x:v>311</x:v>
      </x:c>
      <x:c r="J60" s="12" t="n">
        <x:v>-9.4</x:v>
      </x:c>
      <x:c r="K60" s="12" t="n">
        <x:v>304.9</x:v>
      </x:c>
      <x:c r="L60" s="12" t="n">
        <x:v>13.1</x:v>
      </x:c>
      <x:c r="M60" s="12" t="n">
        <x:v>14.4</x:v>
      </x:c>
      <x:c r="N60" s="11" t="str">
        <x:v>High</x:v>
      </x:c>
      <x:c r="O60" s="13" t="n">
        <x:v>31</x:v>
      </x:c>
      <x:c r="P60" s="13" t="n">
        <x:v>2</x:v>
      </x:c>
      <x:c r="Q60" s="11"/>
      <x:c r="R60" s="11" t="str">
        <x:v>Veteran model: 2025 form, prior-year trend and same team pass/run forecast; team pass volume #31, rush volume #2</x:v>
      </x:c>
    </x:row>
    <x:row r="61" ht="19" customHeight="1">
      <x:c r="A61" s="13" t="n">
        <x:v>57</x:v>
      </x:c>
      <x:c r="B61" s="12" t="n">
        <x:v>110.8</x:v>
      </x:c>
      <x:c r="C61" s="12" t="n">
        <x:f>B61-A61</x:f>
        <x:v>53.8</x:v>
      </x:c>
      <x:c r="D61" s="11" t="str">
        <x:v>Wan'Dale Robinson</x:v>
      </x:c>
      <x:c r="E61" s="11" t="str">
        <x:v>WR</x:v>
      </x:c>
      <x:c r="F61" s="11" t="str">
        <x:v>TEN</x:v>
      </x:c>
      <x:c r="G61" s="13" t="n">
        <x:v>9</x:v>
      </x:c>
      <x:c r="H61" s="12" t="n">
        <x:v>212.1</x:v>
      </x:c>
      <x:c r="I61" s="12" t="n">
        <x:v>171</x:v>
      </x:c>
      <x:c r="J61" s="12" t="n">
        <x:v>41.1</x:v>
      </x:c>
      <x:c r="K61" s="12" t="n">
        <x:v>197.7</x:v>
      </x:c>
      <x:c r="L61" s="12" t="n">
        <x:v>15.1</x:v>
      </x:c>
      <x:c r="M61" s="12" t="n">
        <x:v>14.1</x:v>
      </x:c>
      <x:c r="N61" s="11" t="str">
        <x:v>High</x:v>
      </x:c>
      <x:c r="O61" s="13" t="n">
        <x:v>18</x:v>
      </x:c>
      <x:c r="P61" s="13" t="n">
        <x:v>30</x:v>
      </x:c>
      <x:c r="Q61" s="11"/>
      <x:c r="R61" s="11" t="str">
        <x:v>Veteran model: 2025 form, prior-year trend and new team pass/run forecast; team pass volume #18, rush volume #30</x:v>
      </x:c>
    </x:row>
    <x:row r="62" ht="19" customHeight="1">
      <x:c r="A62" s="13" t="n">
        <x:v>58</x:v>
      </x:c>
      <x:c r="B62" s="12" t="n">
        <x:v>121.1</x:v>
      </x:c>
      <x:c r="C62" s="12" t="n">
        <x:f>B62-A62</x:f>
        <x:v>63.099999999999994</x:v>
      </x:c>
      <x:c r="D62" s="11" t="str">
        <x:v>Bo Nix</x:v>
      </x:c>
      <x:c r="E62" s="11" t="str">
        <x:v>QB</x:v>
      </x:c>
      <x:c r="F62" s="11" t="str">
        <x:v>DEN</x:v>
      </x:c>
      <x:c r="G62" s="13" t="n">
        <x:v>10</x:v>
      </x:c>
      <x:c r="H62" s="12" t="n">
        <x:v>304.3</x:v>
      </x:c>
      <x:c r="I62" s="12" t="n">
        <x:v>296</x:v>
      </x:c>
      <x:c r="J62" s="12" t="n">
        <x:v>8.3</x:v>
      </x:c>
      <x:c r="K62" s="12" t="n">
        <x:v>301.4</x:v>
      </x:c>
      <x:c r="L62" s="12" t="n">
        <x:v>14.4</x:v>
      </x:c>
      <x:c r="M62" s="12" t="n">
        <x:v>12.9</x:v>
      </x:c>
      <x:c r="N62" s="11" t="str">
        <x:v>High</x:v>
      </x:c>
      <x:c r="O62" s="13" t="n">
        <x:v>6</x:v>
      </x:c>
      <x:c r="P62" s="13" t="n">
        <x:v>19</x:v>
      </x:c>
      <x:c r="Q62" s="11"/>
      <x:c r="R62" s="11" t="str">
        <x:v>Veteran model: 2025 form, prior-year trend and same team pass/run forecast; team pass volume #6, rush volume #19</x:v>
      </x:c>
    </x:row>
    <x:row r="63" ht="19" customHeight="1">
      <x:c r="A63" s="13" t="n">
        <x:v>59</x:v>
      </x:c>
      <x:c r="B63" s="12" t="n">
        <x:v>66.1</x:v>
      </x:c>
      <x:c r="C63" s="12" t="n">
        <x:f>B63-A63</x:f>
        <x:v>7.099999999999994</x:v>
      </x:c>
      <x:c r="D63" s="11" t="str">
        <x:v>Rome Odunze</x:v>
      </x:c>
      <x:c r="E63" s="11" t="str">
        <x:v>WR</x:v>
      </x:c>
      <x:c r="F63" s="11" t="str">
        <x:v>CHI</x:v>
      </x:c>
      <x:c r="G63" s="13" t="n">
        <x:v>10</x:v>
      </x:c>
      <x:c r="H63" s="12" t="n">
        <x:v>193.6</x:v>
      </x:c>
      <x:c r="I63" s="12" t="n">
        <x:v>208</x:v>
      </x:c>
      <x:c r="J63" s="12" t="n">
        <x:v>-14.4</x:v>
      </x:c>
      <x:c r="K63" s="12" t="n">
        <x:v>198.7</x:v>
      </x:c>
      <x:c r="L63" s="12" t="n">
        <x:v>12.7</x:v>
      </x:c>
      <x:c r="M63" s="12" t="n">
        <x:v>12.6</x:v>
      </x:c>
      <x:c r="N63" s="11" t="str">
        <x:v>High</x:v>
      </x:c>
      <x:c r="O63" s="13" t="n">
        <x:v>13</x:v>
      </x:c>
      <x:c r="P63" s="13" t="n">
        <x:v>6</x:v>
      </x:c>
      <x:c r="Q63" s="11"/>
      <x:c r="R63" s="11" t="str">
        <x:v>Veteran model: 2025 form, prior-year trend and same team pass/run forecast; team pass volume #13, rush volume #6</x:v>
      </x:c>
    </x:row>
    <x:row r="64" ht="19" customHeight="1">
      <x:c r="A64" s="13" t="n">
        <x:v>60</x:v>
      </x:c>
      <x:c r="B64" s="12" t="n">
        <x:v>72.4</x:v>
      </x:c>
      <x:c r="C64" s="12" t="n">
        <x:f>B64-A64</x:f>
        <x:v>12.400000000000006</x:v>
      </x:c>
      <x:c r="D64" s="11" t="str">
        <x:v>Brian Thomas</x:v>
      </x:c>
      <x:c r="E64" s="11" t="str">
        <x:v>WR</x:v>
      </x:c>
      <x:c r="F64" s="11" t="str">
        <x:v>JAX</x:v>
      </x:c>
      <x:c r="G64" s="13" t="n">
        <x:v>7</x:v>
      </x:c>
      <x:c r="H64" s="12" t="n">
        <x:v>197.8</x:v>
      </x:c>
      <x:c r="I64" s="12" t="n">
        <x:v>195</x:v>
      </x:c>
      <x:c r="J64" s="12" t="n">
        <x:v>2.8</x:v>
      </x:c>
      <x:c r="K64" s="12" t="n">
        <x:v>196.8</x:v>
      </x:c>
      <x:c r="L64" s="12" t="n">
        <x:v>13.7</x:v>
      </x:c>
      <x:c r="M64" s="12" t="n">
        <x:v>12.1</x:v>
      </x:c>
      <x:c r="N64" s="11" t="str">
        <x:v>High</x:v>
      </x:c>
      <x:c r="O64" s="13" t="n">
        <x:v>11</x:v>
      </x:c>
      <x:c r="P64" s="13" t="n">
        <x:v>15</x:v>
      </x:c>
      <x:c r="Q64" s="11"/>
      <x:c r="R64" s="11" t="str">
        <x:v>Veteran model: 2025 form, prior-year trend and same team pass/run forecast; team pass volume #11, rush volume #15</x:v>
      </x:c>
    </x:row>
    <x:row r="65" ht="19" customHeight="1">
      <x:c r="A65" s="13" t="n">
        <x:v>61</x:v>
      </x:c>
      <x:c r="B65" s="12" t="n">
        <x:v>93.6</x:v>
      </x:c>
      <x:c r="C65" s="12" t="n">
        <x:f>B65-A65</x:f>
        <x:v>32.599999999999994</x:v>
      </x:c>
      <x:c r="D65" s="11" t="str">
        <x:v>Travis Kelce</x:v>
      </x:c>
      <x:c r="E65" s="11" t="str">
        <x:v>TE</x:v>
      </x:c>
      <x:c r="F65" s="11" t="str">
        <x:v>KC</x:v>
      </x:c>
      <x:c r="G65" s="13" t="n">
        <x:v>5</x:v>
      </x:c>
      <x:c r="H65" s="12" t="n">
        <x:v>169.5</x:v>
      </x:c>
      <x:c r="I65" s="12" t="n">
        <x:v>171</x:v>
      </x:c>
      <x:c r="J65" s="12" t="n">
        <x:v>-1.5</x:v>
      </x:c>
      <x:c r="K65" s="12" t="n">
        <x:v>170</x:v>
      </x:c>
      <x:c r="L65" s="12" t="n">
        <x:v>12.2</x:v>
      </x:c>
      <x:c r="M65" s="12" t="n">
        <x:v>12.1</x:v>
      </x:c>
      <x:c r="N65" s="11" t="str">
        <x:v>High</x:v>
      </x:c>
      <x:c r="O65" s="13" t="n">
        <x:v>5</x:v>
      </x:c>
      <x:c r="P65" s="13" t="n">
        <x:v>25</x:v>
      </x:c>
      <x:c r="Q65" s="11"/>
      <x:c r="R65" s="11" t="str">
        <x:v>Veteran model: 2025 form, prior-year trend and same team pass/run forecast; team pass volume #5, rush volume #25</x:v>
      </x:c>
    </x:row>
    <x:row r="66" ht="19" customHeight="1">
      <x:c r="A66" s="13" t="n">
        <x:v>62</x:v>
      </x:c>
      <x:c r="B66" s="12" t="n">
        <x:v>90</x:v>
      </x:c>
      <x:c r="C66" s="12" t="n">
        <x:f>B66-A66</x:f>
        <x:v>28</x:v>
      </x:c>
      <x:c r="D66" s="11" t="str">
        <x:v>Dalton Kincaid</x:v>
      </x:c>
      <x:c r="E66" s="11" t="str">
        <x:v>TE</x:v>
      </x:c>
      <x:c r="F66" s="11" t="str">
        <x:v>BUF</x:v>
      </x:c>
      <x:c r="G66" s="13" t="n">
        <x:v>7</x:v>
      </x:c>
      <x:c r="H66" s="12" t="n">
        <x:v>169.8</x:v>
      </x:c>
      <x:c r="I66" s="12" t="n">
        <x:v>164</x:v>
      </x:c>
      <x:c r="J66" s="12" t="n">
        <x:v>5.8</x:v>
      </x:c>
      <x:c r="K66" s="12" t="n">
        <x:v>167.8</x:v>
      </x:c>
      <x:c r="L66" s="12" t="n">
        <x:v>13.6</x:v>
      </x:c>
      <x:c r="M66" s="12" t="n">
        <x:v>11.7</x:v>
      </x:c>
      <x:c r="N66" s="11" t="str">
        <x:v>High</x:v>
      </x:c>
      <x:c r="O66" s="13" t="n">
        <x:v>28</x:v>
      </x:c>
      <x:c r="P66" s="13" t="n">
        <x:v>3</x:v>
      </x:c>
      <x:c r="Q66" s="11"/>
      <x:c r="R66" s="11" t="str">
        <x:v>Veteran model: 2025 form, prior-year trend and same team pass/run forecast; team pass volume #28, rush volume #3</x:v>
      </x:c>
    </x:row>
    <x:row r="67" ht="19" customHeight="1">
      <x:c r="A67" s="13" t="n">
        <x:v>63</x:v>
      </x:c>
      <x:c r="B67" s="12" t="n">
        <x:v>90.3</x:v>
      </x:c>
      <x:c r="C67" s="12" t="n">
        <x:f>B67-A67</x:f>
        <x:v>27.299999999999997</x:v>
      </x:c>
      <x:c r="D67" s="11" t="str">
        <x:v>George Kittle</x:v>
      </x:c>
      <x:c r="E67" s="11" t="str">
        <x:v>TE</x:v>
      </x:c>
      <x:c r="F67" s="11" t="str">
        <x:v>SF</x:v>
      </x:c>
      <x:c r="G67" s="13" t="n">
        <x:v>8</x:v>
      </x:c>
      <x:c r="H67" s="12" t="n">
        <x:v>163.5</x:v>
      </x:c>
      <x:c r="I67" s="12" t="n">
        <x:v>169</x:v>
      </x:c>
      <x:c r="J67" s="12" t="n">
        <x:v>-5.5</x:v>
      </x:c>
      <x:c r="K67" s="12" t="n">
        <x:v>166.2</x:v>
      </x:c>
      <x:c r="L67" s="12" t="n">
        <x:v>12.6</x:v>
      </x:c>
      <x:c r="M67" s="12" t="n">
        <x:v>9.6</x:v>
      </x:c>
      <x:c r="N67" s="11" t="str">
        <x:v>Medium</x:v>
      </x:c>
      <x:c r="O67" s="13" t="n">
        <x:v>16</x:v>
      </x:c>
      <x:c r="P67" s="13" t="n">
        <x:v>9</x:v>
      </x:c>
      <x:c r="Q67" s="11" t="str">
        <x:v>PUP</x:v>
      </x:c>
      <x:c r="R67" s="11" t="str">
        <x:v>Veteran model: 2025 form, prior-year trend and same team pass/run forecast; team pass volume #16, rush volume #9</x:v>
      </x:c>
    </x:row>
    <x:row r="68" ht="19" customHeight="1">
      <x:c r="A68" s="13" t="n">
        <x:v>64</x:v>
      </x:c>
      <x:c r="B68" s="12" t="n">
        <x:v>132.6</x:v>
      </x:c>
      <x:c r="C68" s="12" t="n">
        <x:f>B68-A68</x:f>
        <x:v>68.6</x:v>
      </x:c>
      <x:c r="D68" s="11" t="str">
        <x:v>Hunter Henry</x:v>
      </x:c>
      <x:c r="E68" s="11" t="str">
        <x:v>TE</x:v>
      </x:c>
      <x:c r="F68" s="11" t="str">
        <x:v>NE</x:v>
      </x:c>
      <x:c r="G68" s="13" t="n">
        <x:v>11</x:v>
      </x:c>
      <x:c r="H68" s="12" t="n">
        <x:v>171.3</x:v>
      </x:c>
      <x:c r="I68" s="12" t="n">
        <x:v>154</x:v>
      </x:c>
      <x:c r="J68" s="12" t="n">
        <x:v>17.3</x:v>
      </x:c>
      <x:c r="K68" s="12" t="n">
        <x:v>165.2</x:v>
      </x:c>
      <x:c r="L68" s="12" t="n">
        <x:v>12.7</x:v>
      </x:c>
      <x:c r="M68" s="12" t="n">
        <x:v>9</x:v>
      </x:c>
      <x:c r="N68" s="11" t="str">
        <x:v>High</x:v>
      </x:c>
      <x:c r="O68" s="13" t="n">
        <x:v>27</x:v>
      </x:c>
      <x:c r="P68" s="13" t="n">
        <x:v>12</x:v>
      </x:c>
      <x:c r="Q68" s="11"/>
      <x:c r="R68" s="11" t="str">
        <x:v>Veteran model: 2025 form, prior-year trend and same team pass/run forecast; team pass volume #27, rush volume #12</x:v>
      </x:c>
    </x:row>
    <x:row r="69" ht="19" customHeight="1">
      <x:c r="A69" s="13" t="n">
        <x:v>65</x:v>
      </x:c>
      <x:c r="B69" s="12" t="n">
        <x:v>69.1</x:v>
      </x:c>
      <x:c r="C69" s="12" t="n">
        <x:f>B69-A69</x:f>
        <x:v>4.099999999999994</x:v>
      </x:c>
      <x:c r="D69" s="11" t="str">
        <x:v>Christian Watson</x:v>
      </x:c>
      <x:c r="E69" s="11" t="str">
        <x:v>WR</x:v>
      </x:c>
      <x:c r="F69" s="11" t="str">
        <x:v>GB</x:v>
      </x:c>
      <x:c r="G69" s="13" t="n">
        <x:v>11</x:v>
      </x:c>
      <x:c r="H69" s="12" t="n">
        <x:v>180</x:v>
      </x:c>
      <x:c r="I69" s="12" t="n">
        <x:v>208</x:v>
      </x:c>
      <x:c r="J69" s="12" t="n">
        <x:v>-28</x:v>
      </x:c>
      <x:c r="K69" s="12" t="n">
        <x:v>194</x:v>
      </x:c>
      <x:c r="L69" s="12" t="n">
        <x:v>12.4</x:v>
      </x:c>
      <x:c r="M69" s="12" t="n">
        <x:v>8.9</x:v>
      </x:c>
      <x:c r="N69" s="11" t="str">
        <x:v>Medium</x:v>
      </x:c>
      <x:c r="O69" s="13" t="n">
        <x:v>30</x:v>
      </x:c>
      <x:c r="P69" s="13" t="n">
        <x:v>4</x:v>
      </x:c>
      <x:c r="Q69" s="11"/>
      <x:c r="R69" s="11" t="str">
        <x:v>Veteran model: 2025 form, prior-year trend and same team pass/run forecast; team pass volume #30, rush volume #4</x:v>
      </x:c>
    </x:row>
    <x:row r="70" ht="19" customHeight="1">
      <x:c r="A70" s="13" t="n">
        <x:v>66</x:v>
      </x:c>
      <x:c r="B70" s="12" t="n">
        <x:v>33.5</x:v>
      </x:c>
      <x:c r="C70" s="12" t="n">
        <x:f>B70-A70</x:f>
        <x:v>-32.5</x:v>
      </x:c>
      <x:c r="D70" s="11" t="str">
        <x:v>Lamar Jackson</x:v>
      </x:c>
      <x:c r="E70" s="11" t="str">
        <x:v>QB</x:v>
      </x:c>
      <x:c r="F70" s="11" t="str">
        <x:v>BAL</x:v>
      </x:c>
      <x:c r="G70" s="13" t="n">
        <x:v>13</x:v>
      </x:c>
      <x:c r="H70" s="12" t="n">
        <x:v>283.5</x:v>
      </x:c>
      <x:c r="I70" s="12" t="n">
        <x:v>326</x:v>
      </x:c>
      <x:c r="J70" s="12" t="n">
        <x:v>-42.5</x:v>
      </x:c>
      <x:c r="K70" s="12" t="n">
        <x:v>298.4</x:v>
      </x:c>
      <x:c r="L70" s="12" t="n">
        <x:v>12.1</x:v>
      </x:c>
      <x:c r="M70" s="12" t="n">
        <x:v>8.7</x:v>
      </x:c>
      <x:c r="N70" s="11" t="str">
        <x:v>High</x:v>
      </x:c>
      <x:c r="O70" s="13" t="n">
        <x:v>32</x:v>
      </x:c>
      <x:c r="P70" s="13" t="n">
        <x:v>1</x:v>
      </x:c>
      <x:c r="Q70" s="11"/>
      <x:c r="R70" s="11" t="str">
        <x:v>Veteran model: 2025 form, prior-year trend and same team pass/run forecast; team pass volume #32, rush volume #1</x:v>
      </x:c>
    </x:row>
    <x:row r="71" ht="19" customHeight="1">
      <x:c r="A71" s="13" t="n">
        <x:v>67</x:v>
      </x:c>
      <x:c r="B71" s="12" t="n">
        <x:v>67.1</x:v>
      </x:c>
      <x:c r="C71" s="12" t="n">
        <x:f>B71-A71</x:f>
        <x:v>0.09999999999999432</x:v>
      </x:c>
      <x:c r="D71" s="11" t="str">
        <x:v>Harold Fannin</x:v>
      </x:c>
      <x:c r="E71" s="11" t="str">
        <x:v>TE</x:v>
      </x:c>
      <x:c r="F71" s="11" t="str">
        <x:v>CLE</x:v>
      </x:c>
      <x:c r="G71" s="13" t="n">
        <x:v>11</x:v>
      </x:c>
      <x:c r="H71" s="12" t="n">
        <x:v>148.4</x:v>
      </x:c>
      <x:c r="I71" s="12" t="n">
        <x:v>180</x:v>
      </x:c>
      <x:c r="J71" s="12" t="n">
        <x:v>-31.6</x:v>
      </x:c>
      <x:c r="K71" s="12" t="n">
        <x:v>164.2</x:v>
      </x:c>
      <x:c r="L71" s="12" t="n">
        <x:v>13.2</x:v>
      </x:c>
      <x:c r="M71" s="12" t="n">
        <x:v>8.5</x:v>
      </x:c>
      <x:c r="N71" s="11" t="str">
        <x:v>Medium</x:v>
      </x:c>
      <x:c r="O71" s="13" t="n">
        <x:v>4</x:v>
      </x:c>
      <x:c r="P71" s="13" t="n">
        <x:v>26</x:v>
      </x:c>
      <x:c r="Q71" s="11"/>
      <x:c r="R71" s="11" t="str">
        <x:v>Veteran model: 2025 form, prior-year trend and same team pass/run forecast; team pass volume #4, rush volume #26</x:v>
      </x:c>
    </x:row>
    <x:row r="72" ht="19" customHeight="1">
      <x:c r="A72" s="13" t="n">
        <x:v>68</x:v>
      </x:c>
      <x:c r="B72" s="12" t="n">
        <x:v>80.9</x:v>
      </x:c>
      <x:c r="C72" s="12" t="n">
        <x:f>B72-A72</x:f>
        <x:v>12.900000000000006</x:v>
      </x:c>
      <x:c r="D72" s="11" t="str">
        <x:v>Courtland Sutton</x:v>
      </x:c>
      <x:c r="E72" s="11" t="str">
        <x:v>WR</x:v>
      </x:c>
      <x:c r="F72" s="11" t="str">
        <x:v>DEN</x:v>
      </x:c>
      <x:c r="G72" s="13" t="n">
        <x:v>10</x:v>
      </x:c>
      <x:c r="H72" s="12" t="n">
        <x:v>203.9</x:v>
      </x:c>
      <x:c r="I72" s="12" t="n">
        <x:v>174</x:v>
      </x:c>
      <x:c r="J72" s="12" t="n">
        <x:v>29.9</x:v>
      </x:c>
      <x:c r="K72" s="12" t="n">
        <x:v>193.4</x:v>
      </x:c>
      <x:c r="L72" s="12" t="n">
        <x:v>12.3</x:v>
      </x:c>
      <x:c r="M72" s="12" t="n">
        <x:v>8.4</x:v>
      </x:c>
      <x:c r="N72" s="11" t="str">
        <x:v>High</x:v>
      </x:c>
      <x:c r="O72" s="13" t="n">
        <x:v>6</x:v>
      </x:c>
      <x:c r="P72" s="13" t="n">
        <x:v>19</x:v>
      </x:c>
      <x:c r="Q72" s="11"/>
      <x:c r="R72" s="11" t="str">
        <x:v>Veteran model: 2025 form, prior-year trend and same team pass/run forecast; team pass volume #6, rush volume #19</x:v>
      </x:c>
    </x:row>
    <x:row r="73" ht="19" customHeight="1">
      <x:c r="A73" s="13" t="n">
        <x:v>69</x:v>
      </x:c>
      <x:c r="B73" s="12" t="n">
        <x:v>52.2</x:v>
      </x:c>
      <x:c r="C73" s="12" t="n">
        <x:f>B73-A73</x:f>
        <x:v>-16.799999999999997</x:v>
      </x:c>
      <x:c r="D73" s="11" t="str">
        <x:v>TreVeyon Henderson</x:v>
      </x:c>
      <x:c r="E73" s="11" t="str">
        <x:v>RB</x:v>
      </x:c>
      <x:c r="F73" s="11" t="str">
        <x:v>NE</x:v>
      </x:c>
      <x:c r="G73" s="13" t="n">
        <x:v>11</x:v>
      </x:c>
      <x:c r="H73" s="12" t="n">
        <x:v>204</x:v>
      </x:c>
      <x:c r="I73" s="12" t="n">
        <x:v>171</x:v>
      </x:c>
      <x:c r="J73" s="12" t="n">
        <x:v>33</x:v>
      </x:c>
      <x:c r="K73" s="12" t="n">
        <x:v>187.5</x:v>
      </x:c>
      <x:c r="L73" s="12" t="n">
        <x:v>13.6</x:v>
      </x:c>
      <x:c r="M73" s="12" t="n">
        <x:v>7.9</x:v>
      </x:c>
      <x:c r="N73" s="11" t="str">
        <x:v>Medium</x:v>
      </x:c>
      <x:c r="O73" s="13" t="n">
        <x:v>27</x:v>
      </x:c>
      <x:c r="P73" s="13" t="n">
        <x:v>12</x:v>
      </x:c>
      <x:c r="Q73" s="11"/>
      <x:c r="R73" s="11" t="str">
        <x:v>Veteran model: 2025 form, prior-year trend and same team pass/run forecast; team pass volume #27, rush volume #12</x:v>
      </x:c>
    </x:row>
    <x:row r="74" ht="19" customHeight="1">
      <x:c r="A74" s="13" t="n">
        <x:v>70</x:v>
      </x:c>
      <x:c r="B74" s="12" t="n">
        <x:v>108.9</x:v>
      </x:c>
      <x:c r="C74" s="12" t="n">
        <x:f>B74-A74</x:f>
        <x:v>38.900000000000006</x:v>
      </x:c>
      <x:c r="D74" s="11" t="str">
        <x:v>Quentin Johnston</x:v>
      </x:c>
      <x:c r="E74" s="11" t="str">
        <x:v>WR</x:v>
      </x:c>
      <x:c r="F74" s="11" t="str">
        <x:v>LAC</x:v>
      </x:c>
      <x:c r="G74" s="13" t="n">
        <x:v>7</x:v>
      </x:c>
      <x:c r="H74" s="12" t="n">
        <x:v>207.2</x:v>
      </x:c>
      <x:c r="I74" s="12" t="n">
        <x:v>164</x:v>
      </x:c>
      <x:c r="J74" s="12" t="n">
        <x:v>43.2</x:v>
      </x:c>
      <x:c r="K74" s="12" t="n">
        <x:v>192.1</x:v>
      </x:c>
      <x:c r="L74" s="12" t="n">
        <x:v>13.1</x:v>
      </x:c>
      <x:c r="M74" s="12" t="n">
        <x:v>7.9</x:v>
      </x:c>
      <x:c r="N74" s="11" t="str">
        <x:v>High</x:v>
      </x:c>
      <x:c r="O74" s="13" t="n">
        <x:v>14</x:v>
      </x:c>
      <x:c r="P74" s="13" t="n">
        <x:v>16</x:v>
      </x:c>
      <x:c r="Q74" s="11" t="str">
        <x:v>Ques</x:v>
      </x:c>
      <x:c r="R74" s="11" t="str">
        <x:v>Veteran model: 2025 form, prior-year trend and same team pass/run forecast; team pass volume #14, rush volume #16</x:v>
      </x:c>
    </x:row>
    <x:row r="75" ht="19" customHeight="1">
      <x:c r="A75" s="13" t="n">
        <x:v>71</x:v>
      </x:c>
      <x:c r="B75" s="12" t="n">
        <x:v>107.2</x:v>
      </x:c>
      <x:c r="C75" s="12" t="n">
        <x:f>B75-A75</x:f>
        <x:v>36.2</x:v>
      </x:c>
      <x:c r="D75" s="11" t="str">
        <x:v>Patrick Mahomes</x:v>
      </x:c>
      <x:c r="E75" s="11" t="str">
        <x:v>QB</x:v>
      </x:c>
      <x:c r="F75" s="11" t="str">
        <x:v>KC</x:v>
      </x:c>
      <x:c r="G75" s="13" t="n">
        <x:v>5</x:v>
      </x:c>
      <x:c r="H75" s="12" t="n">
        <x:v>302.1</x:v>
      </x:c>
      <x:c r="I75" s="12" t="n">
        <x:v>287</x:v>
      </x:c>
      <x:c r="J75" s="12" t="n">
        <x:v>15.1</x:v>
      </x:c>
      <x:c r="K75" s="12" t="n">
        <x:v>296.8</x:v>
      </x:c>
      <x:c r="L75" s="12" t="n">
        <x:v>12.3</x:v>
      </x:c>
      <x:c r="M75" s="12" t="n">
        <x:v>7.7</x:v>
      </x:c>
      <x:c r="N75" s="11" t="str">
        <x:v>High</x:v>
      </x:c>
      <x:c r="O75" s="13" t="n">
        <x:v>5</x:v>
      </x:c>
      <x:c r="P75" s="13" t="n">
        <x:v>25</x:v>
      </x:c>
      <x:c r="Q75" s="11" t="str">
        <x:v>Ques</x:v>
      </x:c>
      <x:c r="R75" s="11" t="str">
        <x:v>Veteran model: 2025 form, prior-year trend and same team pass/run forecast; team pass volume #5, rush volume #25</x:v>
      </x:c>
    </x:row>
    <x:row r="76" ht="19" customHeight="1">
      <x:c r="A76" s="13" t="n">
        <x:v>72</x:v>
      </x:c>
      <x:c r="B76" s="12" t="n">
        <x:v>62.5</x:v>
      </x:c>
      <x:c r="C76" s="12" t="n">
        <x:f>B76-A76</x:f>
        <x:v>-9.5</x:v>
      </x:c>
      <x:c r="D76" s="11" t="str">
        <x:v>Jayden Daniels</x:v>
      </x:c>
      <x:c r="E76" s="11" t="str">
        <x:v>QB</x:v>
      </x:c>
      <x:c r="F76" s="11" t="str">
        <x:v>WAS</x:v>
      </x:c>
      <x:c r="G76" s="13" t="n">
        <x:v>7</x:v>
      </x:c>
      <x:c r="H76" s="12" t="n">
        <x:v>287</x:v>
      </x:c>
      <x:c r="I76" s="12" t="n">
        <x:v>309</x:v>
      </x:c>
      <x:c r="J76" s="12" t="n">
        <x:v>-22</x:v>
      </x:c>
      <x:c r="K76" s="12" t="n">
        <x:v>298</x:v>
      </x:c>
      <x:c r="L76" s="12" t="n">
        <x:v>10.9</x:v>
      </x:c>
      <x:c r="M76" s="12" t="n">
        <x:v>7.6</x:v>
      </x:c>
      <x:c r="N76" s="11" t="str">
        <x:v>Medium</x:v>
      </x:c>
      <x:c r="O76" s="13" t="n">
        <x:v>29</x:v>
      </x:c>
      <x:c r="P76" s="13" t="n">
        <x:v>8</x:v>
      </x:c>
      <x:c r="Q76" s="11"/>
      <x:c r="R76" s="11" t="str">
        <x:v>Veteran model: 2025 form, prior-year trend and same team pass/run forecast; team pass volume #29, rush volume #8</x:v>
      </x:c>
    </x:row>
    <x:row r="77" ht="19" customHeight="1">
      <x:c r="A77" s="13" t="n">
        <x:v>73</x:v>
      </x:c>
      <x:c r="B77" s="12" t="n">
        <x:v>55.9</x:v>
      </x:c>
      <x:c r="C77" s="12" t="n">
        <x:f>B77-A77</x:f>
        <x:v>-17.1</x:v>
      </x:c>
      <x:c r="D77" s="11" t="str">
        <x:v>Terry McLaurin</x:v>
      </x:c>
      <x:c r="E77" s="11" t="str">
        <x:v>WR</x:v>
      </x:c>
      <x:c r="F77" s="11" t="str">
        <x:v>WAS</x:v>
      </x:c>
      <x:c r="G77" s="13" t="n">
        <x:v>7</x:v>
      </x:c>
      <x:c r="H77" s="12" t="n">
        <x:v>172.2</x:v>
      </x:c>
      <x:c r="I77" s="12" t="n">
        <x:v>214</x:v>
      </x:c>
      <x:c r="J77" s="12" t="n">
        <x:v>-41.8</x:v>
      </x:c>
      <x:c r="K77" s="12" t="n">
        <x:v>193.1</x:v>
      </x:c>
      <x:c r="L77" s="12" t="n">
        <x:v>10.4</x:v>
      </x:c>
      <x:c r="M77" s="12" t="n">
        <x:v>6.9</x:v>
      </x:c>
      <x:c r="N77" s="11" t="str">
        <x:v>Medium</x:v>
      </x:c>
      <x:c r="O77" s="13" t="n">
        <x:v>29</x:v>
      </x:c>
      <x:c r="P77" s="13" t="n">
        <x:v>8</x:v>
      </x:c>
      <x:c r="Q77" s="11"/>
      <x:c r="R77" s="11" t="str">
        <x:v>Veteran model: 2025 form, prior-year trend and same team pass/run forecast; team pass volume #29, rush volume #8</x:v>
      </x:c>
    </x:row>
    <x:row r="78" ht="19" customHeight="1">
      <x:c r="A78" s="13" t="n">
        <x:v>74</x:v>
      </x:c>
      <x:c r="B78" s="12" t="n">
        <x:v>99.6</x:v>
      </x:c>
      <x:c r="C78" s="12" t="n">
        <x:f>B78-A78</x:f>
        <x:v>25.599999999999994</x:v>
      </x:c>
      <x:c r="D78" s="11" t="str">
        <x:v>Matthew Stafford</x:v>
      </x:c>
      <x:c r="E78" s="11" t="str">
        <x:v>QB</x:v>
      </x:c>
      <x:c r="F78" s="11" t="str">
        <x:v>LAR</x:v>
      </x:c>
      <x:c r="G78" s="13" t="n">
        <x:v>11</x:v>
      </x:c>
      <x:c r="H78" s="12" t="n">
        <x:v>299.7</x:v>
      </x:c>
      <x:c r="I78" s="12" t="n">
        <x:v>280</x:v>
      </x:c>
      <x:c r="J78" s="12" t="n">
        <x:v>19.7</x:v>
      </x:c>
      <x:c r="K78" s="12" t="n">
        <x:v>292.8</x:v>
      </x:c>
      <x:c r="L78" s="12" t="n">
        <x:v>15.1</x:v>
      </x:c>
      <x:c r="M78" s="12" t="n">
        <x:v>5.9</x:v>
      </x:c>
      <x:c r="N78" s="11" t="str">
        <x:v>High</x:v>
      </x:c>
      <x:c r="O78" s="13" t="n">
        <x:v>7</x:v>
      </x:c>
      <x:c r="P78" s="13" t="n">
        <x:v>14</x:v>
      </x:c>
      <x:c r="Q78" s="11"/>
      <x:c r="R78" s="11" t="str">
        <x:v>Veteran model: 2025 form, prior-year trend and same team pass/run forecast; team pass volume #7, rush volume #14</x:v>
      </x:c>
    </x:row>
    <x:row r="79" ht="19" customHeight="1">
      <x:c r="A79" s="13" t="n">
        <x:v>75</x:v>
      </x:c>
      <x:c r="B79" s="12" t="n">
        <x:v>75.7</x:v>
      </x:c>
      <x:c r="C79" s="12" t="n">
        <x:f>B79-A79</x:f>
        <x:v>0.7000000000000028</x:v>
      </x:c>
      <x:c r="D79" s="11" t="str">
        <x:v>Marvin Harrison</x:v>
      </x:c>
      <x:c r="E79" s="11" t="str">
        <x:v>WR</x:v>
      </x:c>
      <x:c r="F79" s="11" t="str">
        <x:v>ARI</x:v>
      </x:c>
      <x:c r="G79" s="13" t="n">
        <x:v>14</x:v>
      </x:c>
      <x:c r="H79" s="12" t="n">
        <x:v>191.1</x:v>
      </x:c>
      <x:c r="I79" s="12" t="n">
        <x:v>186</x:v>
      </x:c>
      <x:c r="J79" s="12" t="n">
        <x:v>5.1</x:v>
      </x:c>
      <x:c r="K79" s="12" t="n">
        <x:v>189.3</x:v>
      </x:c>
      <x:c r="L79" s="12" t="n">
        <x:v>12</x:v>
      </x:c>
      <x:c r="M79" s="12" t="n">
        <x:v>5.3</x:v>
      </x:c>
      <x:c r="N79" s="11" t="str">
        <x:v>High</x:v>
      </x:c>
      <x:c r="O79" s="13" t="n">
        <x:v>3</x:v>
      </x:c>
      <x:c r="P79" s="13" t="n">
        <x:v>29</x:v>
      </x:c>
      <x:c r="Q79" s="11"/>
      <x:c r="R79" s="11" t="str">
        <x:v>Veteran model: 2025 form, prior-year trend and same team pass/run forecast; team pass volume #3, rush volume #29</x:v>
      </x:c>
    </x:row>
    <x:row r="80" ht="19" customHeight="1">
      <x:c r="A80" s="13" t="n">
        <x:v>76</x:v>
      </x:c>
      <x:c r="B80" s="12" t="n">
        <x:v>104.5</x:v>
      </x:c>
      <x:c r="C80" s="12" t="n">
        <x:f>B80-A80</x:f>
        <x:v>28.5</x:v>
      </x:c>
      <x:c r="D80" s="11" t="str">
        <x:v>Jordan Addison</x:v>
      </x:c>
      <x:c r="E80" s="11" t="str">
        <x:v>WR</x:v>
      </x:c>
      <x:c r="F80" s="11" t="str">
        <x:v>MIN</x:v>
      </x:c>
      <x:c r="G80" s="13" t="n">
        <x:v>6</x:v>
      </x:c>
      <x:c r="H80" s="12" t="n">
        <x:v>196.6</x:v>
      </x:c>
      <x:c r="I80" s="12" t="n">
        <x:v>172</x:v>
      </x:c>
      <x:c r="J80" s="12" t="n">
        <x:v>24.6</x:v>
      </x:c>
      <x:c r="K80" s="12" t="n">
        <x:v>188</x:v>
      </x:c>
      <x:c r="L80" s="12" t="n">
        <x:v>14.5</x:v>
      </x:c>
      <x:c r="M80" s="12" t="n">
        <x:v>5.3</x:v>
      </x:c>
      <x:c r="N80" s="11" t="str">
        <x:v>High</x:v>
      </x:c>
      <x:c r="O80" s="13" t="n">
        <x:v>26</x:v>
      </x:c>
      <x:c r="P80" s="13" t="n">
        <x:v>27</x:v>
      </x:c>
      <x:c r="Q80" s="11"/>
      <x:c r="R80" s="11" t="str">
        <x:v>Veteran model: 2025 form, prior-year trend and same team pass/run forecast; team pass volume #26, rush volume #27</x:v>
      </x:c>
    </x:row>
    <x:row r="81" ht="19" customHeight="1">
      <x:c r="A81" s="13" t="n">
        <x:v>77</x:v>
      </x:c>
      <x:c r="B81" s="12" t="n">
        <x:v>97.5</x:v>
      </x:c>
      <x:c r="C81" s="12" t="n">
        <x:f>B81-A81</x:f>
        <x:v>20.5</x:v>
      </x:c>
      <x:c r="D81" s="11" t="str">
        <x:v>Trevor Lawrence</x:v>
      </x:c>
      <x:c r="E81" s="11" t="str">
        <x:v>QB</x:v>
      </x:c>
      <x:c r="F81" s="11" t="str">
        <x:v>JAX</x:v>
      </x:c>
      <x:c r="G81" s="13" t="n">
        <x:v>7</x:v>
      </x:c>
      <x:c r="H81" s="12" t="n">
        <x:v>285.9</x:v>
      </x:c>
      <x:c r="I81" s="12" t="n">
        <x:v>303</x:v>
      </x:c>
      <x:c r="J81" s="12" t="n">
        <x:v>-17.1</x:v>
      </x:c>
      <x:c r="K81" s="12" t="n">
        <x:v>291.9</x:v>
      </x:c>
      <x:c r="L81" s="12" t="n">
        <x:v>13.8</x:v>
      </x:c>
      <x:c r="M81" s="12" t="n">
        <x:v>4.6</x:v>
      </x:c>
      <x:c r="N81" s="11" t="str">
        <x:v>High</x:v>
      </x:c>
      <x:c r="O81" s="13" t="n">
        <x:v>11</x:v>
      </x:c>
      <x:c r="P81" s="13" t="n">
        <x:v>15</x:v>
      </x:c>
      <x:c r="Q81" s="11"/>
      <x:c r="R81" s="11" t="str">
        <x:v>Veteran model: 2025 form, prior-year trend and same team pass/run forecast; team pass volume #11, rush volume #15</x:v>
      </x:c>
    </x:row>
    <x:row r="82" ht="19" customHeight="1">
      <x:c r="A82" s="13" t="n">
        <x:v>78</x:v>
      </x:c>
      <x:c r="B82" s="12" t="n">
        <x:v>83.4</x:v>
      </x:c>
      <x:c r="C82" s="12" t="n">
        <x:f>B82-A82</x:f>
        <x:v>5.400000000000006</x:v>
      </x:c>
      <x:c r="D82" s="11" t="str">
        <x:v>Justin Herbert</x:v>
      </x:c>
      <x:c r="E82" s="11" t="str">
        <x:v>QB</x:v>
      </x:c>
      <x:c r="F82" s="11" t="str">
        <x:v>LAC</x:v>
      </x:c>
      <x:c r="G82" s="13" t="n">
        <x:v>7</x:v>
      </x:c>
      <x:c r="H82" s="12" t="n">
        <x:v>289.6</x:v>
      </x:c>
      <x:c r="I82" s="12" t="n">
        <x:v>295</x:v>
      </x:c>
      <x:c r="J82" s="12" t="n">
        <x:v>-5.4</x:v>
      </x:c>
      <x:c r="K82" s="12" t="n">
        <x:v>291.5</x:v>
      </x:c>
      <x:c r="L82" s="12" t="n">
        <x:v>12.5</x:v>
      </x:c>
      <x:c r="M82" s="12" t="n">
        <x:v>3.9</x:v>
      </x:c>
      <x:c r="N82" s="11" t="str">
        <x:v>High</x:v>
      </x:c>
      <x:c r="O82" s="13" t="n">
        <x:v>14</x:v>
      </x:c>
      <x:c r="P82" s="13" t="n">
        <x:v>16</x:v>
      </x:c>
      <x:c r="Q82" s="11"/>
      <x:c r="R82" s="11" t="str">
        <x:v>Veteran model: 2025 form, prior-year trend and same team pass/run forecast; team pass volume #14, rush volume #16</x:v>
      </x:c>
    </x:row>
    <x:row r="83" ht="19" customHeight="1">
      <x:c r="A83" s="13" t="n">
        <x:v>79</x:v>
      </x:c>
      <x:c r="B83" s="12" t="n">
        <x:v>114.5</x:v>
      </x:c>
      <x:c r="C83" s="12" t="n">
        <x:f>B83-A83</x:f>
        <x:v>35.5</x:v>
      </x:c>
      <x:c r="D83" s="11" t="str">
        <x:v>Jayden Reed</x:v>
      </x:c>
      <x:c r="E83" s="11" t="str">
        <x:v>WR</x:v>
      </x:c>
      <x:c r="F83" s="11" t="str">
        <x:v>GB</x:v>
      </x:c>
      <x:c r="G83" s="13" t="n">
        <x:v>11</x:v>
      </x:c>
      <x:c r="H83" s="12" t="n">
        <x:v>156.2</x:v>
      </x:c>
      <x:c r="I83" s="12" t="n">
        <x:v>198</x:v>
      </x:c>
      <x:c r="J83" s="12" t="n">
        <x:v>-41.8</x:v>
      </x:c>
      <x:c r="K83" s="12" t="n">
        <x:v>187.6</x:v>
      </x:c>
      <x:c r="L83" s="12" t="n">
        <x:v>11</x:v>
      </x:c>
      <x:c r="M83" s="12" t="n">
        <x:v>3.8</x:v>
      </x:c>
      <x:c r="N83" s="11" t="str">
        <x:v>Low</x:v>
      </x:c>
      <x:c r="O83" s="13" t="n">
        <x:v>30</x:v>
      </x:c>
      <x:c r="P83" s="13" t="n">
        <x:v>4</x:v>
      </x:c>
      <x:c r="Q83" s="11"/>
      <x:c r="R83" s="11" t="str">
        <x:v>Veteran model: 2025 form, prior-year trend and same team pass/run forecast; team pass volume #30, rush volume #4</x:v>
      </x:c>
    </x:row>
    <x:row r="84" ht="19" customHeight="1">
      <x:c r="A84" s="13" t="n">
        <x:v>80</x:v>
      </x:c>
      <x:c r="B84" s="12" t="n">
        <x:v>59.5</x:v>
      </x:c>
      <x:c r="C84" s="12" t="n">
        <x:f>B84-A84</x:f>
        <x:v>-20.5</x:v>
      </x:c>
      <x:c r="D84" s="11" t="str">
        <x:v>Mike Evans</x:v>
      </x:c>
      <x:c r="E84" s="11" t="str">
        <x:v>WR</x:v>
      </x:c>
      <x:c r="F84" s="11" t="str">
        <x:v>SF</x:v>
      </x:c>
      <x:c r="G84" s="13" t="n">
        <x:v>8</x:v>
      </x:c>
      <x:c r="H84" s="12" t="n">
        <x:v>154.7</x:v>
      </x:c>
      <x:c r="I84" s="12" t="n">
        <x:v>222</x:v>
      </x:c>
      <x:c r="J84" s="12" t="n">
        <x:v>-67.3</x:v>
      </x:c>
      <x:c r="K84" s="12" t="n">
        <x:v>188.3</x:v>
      </x:c>
      <x:c r="L84" s="12" t="n">
        <x:v>9.7</x:v>
      </x:c>
      <x:c r="M84" s="12" t="n">
        <x:v>3.7</x:v>
      </x:c>
      <x:c r="N84" s="11" t="str">
        <x:v>Medium</x:v>
      </x:c>
      <x:c r="O84" s="13" t="n">
        <x:v>16</x:v>
      </x:c>
      <x:c r="P84" s="13" t="n">
        <x:v>9</x:v>
      </x:c>
      <x:c r="Q84" s="11" t="str">
        <x:v>Ques</x:v>
      </x:c>
      <x:c r="R84" s="11" t="str">
        <x:v>Veteran model: 2025 form, prior-year trend and new team pass/run forecast; team pass volume #16, rush volume #9</x:v>
      </x:c>
    </x:row>
    <x:row r="85" ht="19" customHeight="1">
      <x:c r="A85" s="13" t="n">
        <x:v>81</x:v>
      </x:c>
      <x:c r="B85" s="12" t="n">
        <x:v>69.7</x:v>
      </x:c>
      <x:c r="C85" s="12" t="n">
        <x:f>B85-A85</x:f>
        <x:v>-11.299999999999997</x:v>
      </x:c>
      <x:c r="D85" s="11" t="str">
        <x:v>Jadarian Price</x:v>
      </x:c>
      <x:c r="E85" s="11" t="str">
        <x:v>RB</x:v>
      </x:c>
      <x:c r="F85" s="11" t="str">
        <x:v>SEA</x:v>
      </x:c>
      <x:c r="G85" s="13" t="n">
        <x:v>11</x:v>
      </x:c>
      <x:c r="H85" s="12" t="n">
        <x:v>221.7</x:v>
      </x:c>
      <x:c r="I85" s="12" t="n">
        <x:v>170</x:v>
      </x:c>
      <x:c r="J85" s="12" t="n">
        <x:v>51.7</x:v>
      </x:c>
      <x:c r="K85" s="12" t="n">
        <x:v>182.9</x:v>
      </x:c>
      <x:c r="L85" s="12" t="n">
        <x:v>11.6</x:v>
      </x:c>
      <x:c r="M85" s="12" t="n">
        <x:v>3.6</x:v>
      </x:c>
      <x:c r="N85" s="11" t="str">
        <x:v>Low</x:v>
      </x:c>
      <x:c r="O85" s="13" t="n">
        <x:v>23</x:v>
      </x:c>
      <x:c r="P85" s="13" t="n">
        <x:v>21</x:v>
      </x:c>
      <x:c r="Q85" s="11"/>
      <x:c r="R85" s="11" t="str">
        <x:v>Rookie model: pick 32, age and destination-team environment; team pass volume #23, rush volume #21</x:v>
      </x:c>
    </x:row>
    <x:row r="86" ht="19" customHeight="1">
      <x:c r="A86" s="13" t="n">
        <x:v>82</x:v>
      </x:c>
      <x:c r="B86" s="12" t="n">
        <x:v>54</x:v>
      </x:c>
      <x:c r="C86" s="12" t="n">
        <x:f>B86-A86</x:f>
        <x:v>-28</x:v>
      </x:c>
      <x:c r="D86" s="11" t="str">
        <x:v>Joe Burrow</x:v>
      </x:c>
      <x:c r="E86" s="11" t="str">
        <x:v>QB</x:v>
      </x:c>
      <x:c r="F86" s="11" t="str">
        <x:v>CIN</x:v>
      </x:c>
      <x:c r="G86" s="13" t="n">
        <x:v>6</x:v>
      </x:c>
      <x:c r="H86" s="12" t="n">
        <x:v>274.2</x:v>
      </x:c>
      <x:c r="I86" s="12" t="n">
        <x:v>306</x:v>
      </x:c>
      <x:c r="J86" s="12" t="n">
        <x:v>-31.8</x:v>
      </x:c>
      <x:c r="K86" s="12" t="n">
        <x:v>290.1</x:v>
      </x:c>
      <x:c r="L86" s="12" t="n">
        <x:v>12.4</x:v>
      </x:c>
      <x:c r="M86" s="12" t="n">
        <x:v>2.8</x:v>
      </x:c>
      <x:c r="N86" s="11" t="str">
        <x:v>Medium</x:v>
      </x:c>
      <x:c r="O86" s="13" t="n">
        <x:v>1</x:v>
      </x:c>
      <x:c r="P86" s="13" t="n">
        <x:v>31</x:v>
      </x:c>
      <x:c r="Q86" s="11"/>
      <x:c r="R86" s="11" t="str">
        <x:v>Veteran model: 2025 form, prior-year trend and same team pass/run forecast; team pass volume #1, rush volume #31</x:v>
      </x:c>
    </x:row>
    <x:row r="87" ht="19" customHeight="1">
      <x:c r="A87" s="13" t="n">
        <x:v>83</x:v>
      </x:c>
      <x:c r="B87" s="12" t="n">
        <x:v>76.7</x:v>
      </x:c>
      <x:c r="C87" s="12" t="n">
        <x:f>B87-A87</x:f>
        <x:v>-6.299999999999997</x:v>
      </x:c>
      <x:c r="D87" s="11" t="str">
        <x:v>Parker Washington</x:v>
      </x:c>
      <x:c r="E87" s="11" t="str">
        <x:v>WR</x:v>
      </x:c>
      <x:c r="F87" s="11" t="str">
        <x:v>JAX</x:v>
      </x:c>
      <x:c r="G87" s="13" t="n">
        <x:v>7</x:v>
      </x:c>
      <x:c r="H87" s="12" t="n">
        <x:v>170.1</x:v>
      </x:c>
      <x:c r="I87" s="12" t="n">
        <x:v>212</x:v>
      </x:c>
      <x:c r="J87" s="12" t="n">
        <x:v>-41.9</x:v>
      </x:c>
      <x:c r="K87" s="12" t="n">
        <x:v>184.7</x:v>
      </x:c>
      <x:c r="L87" s="12" t="n">
        <x:v>13.3</x:v>
      </x:c>
      <x:c r="M87" s="12" t="n">
        <x:v>2.3</x:v>
      </x:c>
      <x:c r="N87" s="11" t="str">
        <x:v>High</x:v>
      </x:c>
      <x:c r="O87" s="13" t="n">
        <x:v>11</x:v>
      </x:c>
      <x:c r="P87" s="13" t="n">
        <x:v>15</x:v>
      </x:c>
      <x:c r="Q87" s="11" t="str">
        <x:v>Ques</x:v>
      </x:c>
      <x:c r="R87" s="11" t="str">
        <x:v>Veteran model: 2025 form, prior-year trend and same team pass/run forecast; team pass volume #11, rush volume #15</x:v>
      </x:c>
    </x:row>
    <x:row r="88" ht="19" customHeight="1">
      <x:c r="A88" s="13" t="n">
        <x:v>84</x:v>
      </x:c>
      <x:c r="B88" s="12" t="n">
        <x:v>97.2</x:v>
      </x:c>
      <x:c r="C88" s="12" t="n">
        <x:f>B88-A88</x:f>
        <x:v>13.200000000000003</x:v>
      </x:c>
      <x:c r="D88" s="11" t="str">
        <x:v>Alec Pierce</x:v>
      </x:c>
      <x:c r="E88" s="11" t="str">
        <x:v>WR</x:v>
      </x:c>
      <x:c r="F88" s="11" t="str">
        <x:v>IND</x:v>
      </x:c>
      <x:c r="G88" s="13" t="n">
        <x:v>13</x:v>
      </x:c>
      <x:c r="H88" s="12" t="n">
        <x:v>184.8</x:v>
      </x:c>
      <x:c r="I88" s="12" t="n">
        <x:v>178</x:v>
      </x:c>
      <x:c r="J88" s="12" t="n">
        <x:v>6.8</x:v>
      </x:c>
      <x:c r="K88" s="12" t="n">
        <x:v>182.4</x:v>
      </x:c>
      <x:c r="L88" s="12" t="n">
        <x:v>13.2</x:v>
      </x:c>
      <x:c r="M88" s="12" t="n">
        <x:v>0.5</x:v>
      </x:c>
      <x:c r="N88" s="11" t="str">
        <x:v>High</x:v>
      </x:c>
      <x:c r="O88" s="13" t="n">
        <x:v>21</x:v>
      </x:c>
      <x:c r="P88" s="13" t="n">
        <x:v>13</x:v>
      </x:c>
      <x:c r="Q88" s="11" t="str">
        <x:v>PUP</x:v>
      </x:c>
      <x:c r="R88" s="11" t="str">
        <x:v>Veteran model: 2025 form, prior-year trend and same team pass/run forecast; team pass volume #21, rush volume #13</x:v>
      </x:c>
    </x:row>
    <x:row r="89" ht="19" customHeight="1">
      <x:c r="A89" s="13" t="n">
        <x:v>85</x:v>
      </x:c>
      <x:c r="B89" s="12" t="n">
        <x:v>64</x:v>
      </x:c>
      <x:c r="C89" s="12" t="n">
        <x:f>B89-A89</x:f>
        <x:v>-21</x:v>
      </x:c>
      <x:c r="D89" s="11" t="str">
        <x:v>Carnell Tate</x:v>
      </x:c>
      <x:c r="E89" s="11" t="str">
        <x:v>WR</x:v>
      </x:c>
      <x:c r="F89" s="11" t="str">
        <x:v>TEN</x:v>
      </x:c>
      <x:c r="G89" s="13" t="n">
        <x:v>9</x:v>
      </x:c>
      <x:c r="H89" s="12" t="n">
        <x:v>196.4</x:v>
      </x:c>
      <x:c r="I89" s="12" t="n">
        <x:v>177</x:v>
      </x:c>
      <x:c r="J89" s="12" t="n">
        <x:v>19.4</x:v>
      </x:c>
      <x:c r="K89" s="12" t="n">
        <x:v>181.8</x:v>
      </x:c>
      <x:c r="L89" s="12" t="n">
        <x:v>17</x:v>
      </x:c>
      <x:c r="M89" s="12" t="n">
        <x:v>0</x:v>
      </x:c>
      <x:c r="N89" s="11" t="str">
        <x:v>Low</x:v>
      </x:c>
      <x:c r="O89" s="13" t="n">
        <x:v>18</x:v>
      </x:c>
      <x:c r="P89" s="13" t="n">
        <x:v>30</x:v>
      </x:c>
      <x:c r="Q89" s="11" t="str">
        <x:v>Ques</x:v>
      </x:c>
      <x:c r="R89" s="11" t="str">
        <x:v>Rookie model: pick 4, age and destination-team environment; team pass volume #18, rush volume #30</x:v>
      </x:c>
    </x:row>
    <x:row r="90" ht="19" customHeight="1">
      <x:c r="A90" s="13" t="n">
        <x:v>86</x:v>
      </x:c>
      <x:c r="B90" s="12" t="n">
        <x:v>73.6</x:v>
      </x:c>
      <x:c r="C90" s="12" t="n">
        <x:f>B90-A90</x:f>
        <x:v>-12.400000000000006</x:v>
      </x:c>
      <x:c r="D90" s="11" t="str">
        <x:v>Jaylen Warren</x:v>
      </x:c>
      <x:c r="E90" s="11" t="str">
        <x:v>RB</x:v>
      </x:c>
      <x:c r="F90" s="11" t="str">
        <x:v>PIT</x:v>
      </x:c>
      <x:c r="G90" s="13" t="n">
        <x:v>9</x:v>
      </x:c>
      <x:c r="H90" s="12" t="n">
        <x:v>181.1</x:v>
      </x:c>
      <x:c r="I90" s="12" t="n">
        <x:v>171</x:v>
      </x:c>
      <x:c r="J90" s="12" t="n">
        <x:v>10.1</x:v>
      </x:c>
      <x:c r="K90" s="12" t="n">
        <x:v>177.6</x:v>
      </x:c>
      <x:c r="L90" s="12" t="n">
        <x:v>12.7</x:v>
      </x:c>
      <x:c r="M90" s="12" t="n">
        <x:v>0</x:v>
      </x:c>
      <x:c r="N90" s="11" t="str">
        <x:v>High</x:v>
      </x:c>
      <x:c r="O90" s="13" t="n">
        <x:v>24</x:v>
      </x:c>
      <x:c r="P90" s="13" t="n">
        <x:v>18</x:v>
      </x:c>
      <x:c r="Q90" s="11"/>
      <x:c r="R90" s="11" t="str">
        <x:v>Veteran model: 2025 form, prior-year trend and same team pass/run forecast; team pass volume #24, rush volume #18</x:v>
      </x:c>
    </x:row>
    <x:row r="91" ht="19" customHeight="1">
      <x:c r="A91" s="13" t="n">
        <x:v>87</x:v>
      </x:c>
      <x:c r="B91" s="12" t="n">
        <x:v>132.8</x:v>
      </x:c>
      <x:c r="C91" s="12" t="n">
        <x:f>B91-A91</x:f>
        <x:v>45.80000000000001</x:v>
      </x:c>
      <x:c r="D91" s="11" t="str">
        <x:v>Jared Goff</x:v>
      </x:c>
      <x:c r="E91" s="11" t="str">
        <x:v>QB</x:v>
      </x:c>
      <x:c r="F91" s="11" t="str">
        <x:v>DET</x:v>
      </x:c>
      <x:c r="G91" s="13" t="n">
        <x:v>6</x:v>
      </x:c>
      <x:c r="H91" s="12" t="n">
        <x:v>288</x:v>
      </x:c>
      <x:c r="I91" s="12" t="n">
        <x:v>283</x:v>
      </x:c>
      <x:c r="J91" s="12" t="n">
        <x:v>5</x:v>
      </x:c>
      <x:c r="K91" s="12" t="n">
        <x:v>286.2</x:v>
      </x:c>
      <x:c r="L91" s="12" t="n">
        <x:v>15.3</x:v>
      </x:c>
      <x:c r="M91" s="12" t="n">
        <x:v>0</x:v>
      </x:c>
      <x:c r="N91" s="11" t="str">
        <x:v>High</x:v>
      </x:c>
      <x:c r="O91" s="13" t="n">
        <x:v>10</x:v>
      </x:c>
      <x:c r="P91" s="13" t="n">
        <x:v>7</x:v>
      </x:c>
      <x:c r="Q91" s="11"/>
      <x:c r="R91" s="11" t="str">
        <x:v>Veteran model: 2025 form, prior-year trend and same team pass/run forecast; team pass volume #10, rush volume #7</x:v>
      </x:c>
    </x:row>
    <x:row r="92" ht="19" customHeight="1">
      <x:c r="A92" s="13" t="n">
        <x:v>88</x:v>
      </x:c>
      <x:c r="B92" s="12" t="n">
        <x:v>187.1</x:v>
      </x:c>
      <x:c r="C92" s="12" t="n">
        <x:f>B92-A92</x:f>
        <x:v>99.1</x:v>
      </x:c>
      <x:c r="D92" s="11" t="str">
        <x:v>Juwan Johnson</x:v>
      </x:c>
      <x:c r="E92" s="11" t="str">
        <x:v>TE</x:v>
      </x:c>
      <x:c r="F92" s="11" t="str">
        <x:v>NO</x:v>
      </x:c>
      <x:c r="G92" s="13" t="n">
        <x:v>8</x:v>
      </x:c>
      <x:c r="H92" s="12" t="n">
        <x:v>159.7</x:v>
      </x:c>
      <x:c r="I92" s="12" t="n">
        <x:v>141</x:v>
      </x:c>
      <x:c r="J92" s="12" t="n">
        <x:v>18.7</x:v>
      </x:c>
      <x:c r="K92" s="12" t="n">
        <x:v>153.2</x:v>
      </x:c>
      <x:c r="L92" s="12" t="n">
        <x:v>12.2</x:v>
      </x:c>
      <x:c r="M92" s="12" t="n">
        <x:v>0</x:v>
      </x:c>
      <x:c r="N92" s="11" t="str">
        <x:v>High</x:v>
      </x:c>
      <x:c r="O92" s="13" t="n">
        <x:v>8</x:v>
      </x:c>
      <x:c r="P92" s="13" t="n">
        <x:v>22</x:v>
      </x:c>
      <x:c r="Q92" s="11"/>
      <x:c r="R92" s="11" t="str">
        <x:v>Veteran model: 2025 form, prior-year trend and same team pass/run forecast; team pass volume #8, rush volume #22</x:v>
      </x:c>
    </x:row>
    <x:row r="93" ht="19" customHeight="1">
      <x:c r="A93" s="13" t="n">
        <x:v>89</x:v>
      </x:c>
      <x:c r="B93" s="12" t="n">
        <x:v>50.1</x:v>
      </x:c>
      <x:c r="C93" s="12" t="n">
        <x:f>B93-A93</x:f>
        <x:v>-38.9</x:v>
      </x:c>
      <x:c r="D93" s="11" t="str">
        <x:v>Luther Burden</x:v>
      </x:c>
      <x:c r="E93" s="11" t="str">
        <x:v>WR</x:v>
      </x:c>
      <x:c r="F93" s="11" t="str">
        <x:v>CHI</x:v>
      </x:c>
      <x:c r="G93" s="13" t="n">
        <x:v>10</x:v>
      </x:c>
      <x:c r="H93" s="12" t="n">
        <x:v>150.3</x:v>
      </x:c>
      <x:c r="I93" s="12" t="n">
        <x:v>209</x:v>
      </x:c>
      <x:c r="J93" s="12" t="n">
        <x:v>-58.7</x:v>
      </x:c>
      <x:c r="K93" s="12" t="n">
        <x:v>179.6</x:v>
      </x:c>
      <x:c r="L93" s="12" t="n">
        <x:v>13.1</x:v>
      </x:c>
      <x:c r="M93" s="12" t="n">
        <x:v>-1.7</x:v>
      </x:c>
      <x:c r="N93" s="11" t="str">
        <x:v>Medium</x:v>
      </x:c>
      <x:c r="O93" s="13" t="n">
        <x:v>13</x:v>
      </x:c>
      <x:c r="P93" s="13" t="n">
        <x:v>6</x:v>
      </x:c>
      <x:c r="Q93" s="11" t="str">
        <x:v>Ques</x:v>
      </x:c>
      <x:c r="R93" s="11" t="str">
        <x:v>Veteran model: 2025 form, prior-year trend and same team pass/run forecast; team pass volume #13, rush volume #6</x:v>
      </x:c>
    </x:row>
    <x:row r="94" ht="19" customHeight="1">
      <x:c r="A94" s="13" t="n">
        <x:v>90</x:v>
      </x:c>
      <x:c r="B94" s="12" t="n">
        <x:v>124.2</x:v>
      </x:c>
      <x:c r="C94" s="12" t="n">
        <x:f>B94-A94</x:f>
        <x:v>34.2</x:v>
      </x:c>
      <x:c r="D94" s="11" t="str">
        <x:v>Dallas Goedert</x:v>
      </x:c>
      <x:c r="E94" s="11" t="str">
        <x:v>TE</x:v>
      </x:c>
      <x:c r="F94" s="11" t="str">
        <x:v>PHI</x:v>
      </x:c>
      <x:c r="G94" s="13" t="n">
        <x:v>10</x:v>
      </x:c>
      <x:c r="H94" s="12" t="n">
        <x:v>158.9</x:v>
      </x:c>
      <x:c r="I94" s="12" t="n">
        <x:v>136</x:v>
      </x:c>
      <x:c r="J94" s="12" t="n">
        <x:v>22.9</x:v>
      </x:c>
      <x:c r="K94" s="12" t="n">
        <x:v>150.9</x:v>
      </x:c>
      <x:c r="L94" s="12" t="n">
        <x:v>13</x:v>
      </x:c>
      <x:c r="M94" s="12" t="n">
        <x:v>-1.8</x:v>
      </x:c>
      <x:c r="N94" s="11" t="str">
        <x:v>High</x:v>
      </x:c>
      <x:c r="O94" s="13" t="n">
        <x:v>31</x:v>
      </x:c>
      <x:c r="P94" s="13" t="n">
        <x:v>2</x:v>
      </x:c>
      <x:c r="Q94" s="11"/>
      <x:c r="R94" s="11" t="str">
        <x:v>Veteran model: 2025 form, prior-year trend and same team pass/run forecast; team pass volume #31, rush volume #2</x:v>
      </x:c>
    </x:row>
    <x:row r="95" ht="19" customHeight="1">
      <x:c r="A95" s="13" t="n">
        <x:v>91</x:v>
      </x:c>
      <x:c r="B95" s="12" t="n">
        <x:v>120.7</x:v>
      </x:c>
      <x:c r="C95" s="12" t="n">
        <x:f>B95-A95</x:f>
        <x:v>29.700000000000003</x:v>
      </x:c>
      <x:c r="D95" s="11" t="str">
        <x:v>Brock Purdy</x:v>
      </x:c>
      <x:c r="E95" s="11" t="str">
        <x:v>QB</x:v>
      </x:c>
      <x:c r="F95" s="11" t="str">
        <x:v>SF</x:v>
      </x:c>
      <x:c r="G95" s="13" t="n">
        <x:v>8</x:v>
      </x:c>
      <x:c r="H95" s="12" t="n">
        <x:v>262.9</x:v>
      </x:c>
      <x:c r="I95" s="12" t="n">
        <x:v>303</x:v>
      </x:c>
      <x:c r="J95" s="12" t="n">
        <x:v>-40.1</x:v>
      </x:c>
      <x:c r="K95" s="12" t="n">
        <x:v>282.9</x:v>
      </x:c>
      <x:c r="L95" s="12" t="n">
        <x:v>11.6</x:v>
      </x:c>
      <x:c r="M95" s="12" t="n">
        <x:v>-2.3</x:v>
      </x:c>
      <x:c r="N95" s="11" t="str">
        <x:v>Medium</x:v>
      </x:c>
      <x:c r="O95" s="13" t="n">
        <x:v>16</x:v>
      </x:c>
      <x:c r="P95" s="13" t="n">
        <x:v>9</x:v>
      </x:c>
      <x:c r="Q95" s="11"/>
      <x:c r="R95" s="11" t="str">
        <x:v>Veteran model: 2025 form, prior-year trend and same team pass/run forecast; team pass volume #16, rush volume #9</x:v>
      </x:c>
    </x:row>
    <x:row r="96" ht="19" customHeight="1">
      <x:c r="A96" s="13" t="n">
        <x:v>92</x:v>
      </x:c>
      <x:c r="B96" s="12" t="n">
        <x:v>82.3</x:v>
      </x:c>
      <x:c r="C96" s="12" t="n">
        <x:f>B96-A96</x:f>
        <x:v>-9.700000000000003</x:v>
      </x:c>
      <x:c r="D96" s="11" t="str">
        <x:v>Michael Wilson</x:v>
      </x:c>
      <x:c r="E96" s="11" t="str">
        <x:v>WR</x:v>
      </x:c>
      <x:c r="F96" s="11" t="str">
        <x:v>ARI</x:v>
      </x:c>
      <x:c r="G96" s="13" t="n">
        <x:v>14</x:v>
      </x:c>
      <x:c r="H96" s="12" t="n">
        <x:v>185.5</x:v>
      </x:c>
      <x:c r="I96" s="12" t="n">
        <x:v>166</x:v>
      </x:c>
      <x:c r="J96" s="12" t="n">
        <x:v>19.5</x:v>
      </x:c>
      <x:c r="K96" s="12" t="n">
        <x:v>178.7</x:v>
      </x:c>
      <x:c r="L96" s="12" t="n">
        <x:v>13.2</x:v>
      </x:c>
      <x:c r="M96" s="12" t="n">
        <x:v>-2.4</x:v>
      </x:c>
      <x:c r="N96" s="11" t="str">
        <x:v>High</x:v>
      </x:c>
      <x:c r="O96" s="13" t="n">
        <x:v>3</x:v>
      </x:c>
      <x:c r="P96" s="13" t="n">
        <x:v>29</x:v>
      </x:c>
      <x:c r="Q96" s="11"/>
      <x:c r="R96" s="11" t="str">
        <x:v>Veteran model: 2025 form, prior-year trend and same team pass/run forecast; team pass volume #3, rush volume #29</x:v>
      </x:c>
    </x:row>
    <x:row r="97" ht="19" customHeight="1">
      <x:c r="A97" s="13" t="n">
        <x:v>93</x:v>
      </x:c>
      <x:c r="B97" s="12" t="n">
        <x:v>74.3</x:v>
      </x:c>
      <x:c r="C97" s="12" t="n">
        <x:f>B97-A97</x:f>
        <x:v>-18.700000000000003</x:v>
      </x:c>
      <x:c r="D97" s="11" t="str">
        <x:v>DK Metcalf</x:v>
      </x:c>
      <x:c r="E97" s="11" t="str">
        <x:v>WR</x:v>
      </x:c>
      <x:c r="F97" s="11" t="str">
        <x:v>PIT</x:v>
      </x:c>
      <x:c r="G97" s="13" t="n">
        <x:v>9</x:v>
      </x:c>
      <x:c r="H97" s="12" t="n">
        <x:v>175.4</x:v>
      </x:c>
      <x:c r="I97" s="12" t="n">
        <x:v>183</x:v>
      </x:c>
      <x:c r="J97" s="12" t="n">
        <x:v>-7.6</x:v>
      </x:c>
      <x:c r="K97" s="12" t="n">
        <x:v>178.1</x:v>
      </x:c>
      <x:c r="L97" s="12" t="n">
        <x:v>13.2</x:v>
      </x:c>
      <x:c r="M97" s="12" t="n">
        <x:v>-2.9</x:v>
      </x:c>
      <x:c r="N97" s="11" t="str">
        <x:v>High</x:v>
      </x:c>
      <x:c r="O97" s="13" t="n">
        <x:v>24</x:v>
      </x:c>
      <x:c r="P97" s="13" t="n">
        <x:v>18</x:v>
      </x:c>
      <x:c r="Q97" s="11" t="str">
        <x:v>Ques</x:v>
      </x:c>
      <x:c r="R97" s="11" t="str">
        <x:v>Veteran model: 2025 form, prior-year trend and same team pass/run forecast; team pass volume #24, rush volume #18</x:v>
      </x:c>
    </x:row>
    <x:row r="98" ht="19" customHeight="1">
      <x:c r="A98" s="13" t="n">
        <x:v>94</x:v>
      </x:c>
      <x:c r="B98" s="12" t="n">
        <x:v>92.6</x:v>
      </x:c>
      <x:c r="C98" s="12" t="n">
        <x:f>B98-A98</x:f>
        <x:v>-1.4000000000000057</x:v>
      </x:c>
      <x:c r="D98" s="11" t="str">
        <x:v>J.K. Dobbins</x:v>
      </x:c>
      <x:c r="E98" s="11" t="str">
        <x:v>RB</x:v>
      </x:c>
      <x:c r="F98" s="11" t="str">
        <x:v>DEN</x:v>
      </x:c>
      <x:c r="G98" s="13" t="n">
        <x:v>10</x:v>
      </x:c>
      <x:c r="H98" s="12" t="n">
        <x:v>184.8</x:v>
      </x:c>
      <x:c r="I98" s="12" t="n">
        <x:v>160</x:v>
      </x:c>
      <x:c r="J98" s="12" t="n">
        <x:v>24.8</x:v>
      </x:c>
      <x:c r="K98" s="12" t="n">
        <x:v>172.4</x:v>
      </x:c>
      <x:c r="L98" s="12" t="n">
        <x:v>11</x:v>
      </x:c>
      <x:c r="M98" s="12" t="n">
        <x:v>-3.4</x:v>
      </x:c>
      <x:c r="N98" s="11" t="str">
        <x:v>Medium</x:v>
      </x:c>
      <x:c r="O98" s="13" t="n">
        <x:v>6</x:v>
      </x:c>
      <x:c r="P98" s="13" t="n">
        <x:v>19</x:v>
      </x:c>
      <x:c r="Q98" s="11"/>
      <x:c r="R98" s="11" t="str">
        <x:v>Veteran model: 2025 form, prior-year trend and same team pass/run forecast; team pass volume #6, rush volume #19</x:v>
      </x:c>
    </x:row>
    <x:row r="99" ht="19" customHeight="1">
      <x:c r="A99" s="13" t="n">
        <x:v>95</x:v>
      </x:c>
      <x:c r="B99" s="12" t="n">
        <x:v>81.7</x:v>
      </x:c>
      <x:c r="C99" s="12" t="n">
        <x:f>B99-A99</x:f>
        <x:v>-13.299999999999997</x:v>
      </x:c>
      <x:c r="D99" s="11" t="str">
        <x:v>Dak Prescott</x:v>
      </x:c>
      <x:c r="E99" s="11" t="str">
        <x:v>QB</x:v>
      </x:c>
      <x:c r="F99" s="11" t="str">
        <x:v>DAL</x:v>
      </x:c>
      <x:c r="G99" s="13" t="n">
        <x:v>14</x:v>
      </x:c>
      <x:c r="H99" s="12" t="n">
        <x:v>268.8</x:v>
      </x:c>
      <x:c r="I99" s="12" t="n">
        <x:v>304</x:v>
      </x:c>
      <x:c r="J99" s="12" t="n">
        <x:v>-35.2</x:v>
      </x:c>
      <x:c r="K99" s="12" t="n">
        <x:v>281.1</x:v>
      </x:c>
      <x:c r="L99" s="12" t="n">
        <x:v>12.6</x:v>
      </x:c>
      <x:c r="M99" s="12" t="n">
        <x:v>-3.8</x:v>
      </x:c>
      <x:c r="N99" s="11" t="str">
        <x:v>High</x:v>
      </x:c>
      <x:c r="O99" s="13" t="n">
        <x:v>2</x:v>
      </x:c>
      <x:c r="P99" s="13" t="n">
        <x:v>20</x:v>
      </x:c>
      <x:c r="Q99" s="11"/>
      <x:c r="R99" s="11" t="str">
        <x:v>Veteran model: 2025 form, prior-year trend and same team pass/run forecast; team pass volume #2, rush volume #20</x:v>
      </x:c>
    </x:row>
    <x:row r="100" ht="19" customHeight="1">
      <x:c r="A100" s="13" t="n">
        <x:v>96</x:v>
      </x:c>
      <x:c r="B100" s="12" t="n">
        <x:v>151.4</x:v>
      </x:c>
      <x:c r="C100" s="12" t="n">
        <x:f>B100-A100</x:f>
        <x:v>55.400000000000006</x:v>
      </x:c>
      <x:c r="D100" s="11" t="str">
        <x:v>Brenton Strange</x:v>
      </x:c>
      <x:c r="E100" s="11" t="str">
        <x:v>TE</x:v>
      </x:c>
      <x:c r="F100" s="11" t="str">
        <x:v>JAX</x:v>
      </x:c>
      <x:c r="G100" s="13" t="n">
        <x:v>7</x:v>
      </x:c>
      <x:c r="H100" s="12" t="n">
        <x:v>141.1</x:v>
      </x:c>
      <x:c r="I100" s="12" t="n">
        <x:v>161</x:v>
      </x:c>
      <x:c r="J100" s="12" t="n">
        <x:v>-19.9</x:v>
      </x:c>
      <x:c r="K100" s="12" t="n">
        <x:v>148.1</x:v>
      </x:c>
      <x:c r="L100" s="12" t="n">
        <x:v>12.6</x:v>
      </x:c>
      <x:c r="M100" s="12" t="n">
        <x:v>-3.8</x:v>
      </x:c>
      <x:c r="N100" s="11" t="str">
        <x:v>High</x:v>
      </x:c>
      <x:c r="O100" s="13" t="n">
        <x:v>11</x:v>
      </x:c>
      <x:c r="P100" s="13" t="n">
        <x:v>15</x:v>
      </x:c>
      <x:c r="Q100" s="11"/>
      <x:c r="R100" s="11" t="str">
        <x:v>Veteran model: 2025 form, prior-year trend and same team pass/run forecast; team pass volume #11, rush volume #15</x:v>
      </x:c>
    </x:row>
    <x:row r="101" ht="19" customHeight="1">
      <x:c r="A101" s="13" t="n">
        <x:v>97</x:v>
      </x:c>
      <x:c r="B101" s="12" t="n">
        <x:v>104.6</x:v>
      </x:c>
      <x:c r="C101" s="12" t="n">
        <x:f>B101-A101</x:f>
        <x:v>7.599999999999994</x:v>
      </x:c>
      <x:c r="D101" s="11" t="str">
        <x:v>Jakobi Meyers</x:v>
      </x:c>
      <x:c r="E101" s="11" t="str">
        <x:v>WR</x:v>
      </x:c>
      <x:c r="F101" s="11" t="str">
        <x:v>JAX</x:v>
      </x:c>
      <x:c r="G101" s="13" t="n">
        <x:v>7</x:v>
      </x:c>
      <x:c r="H101" s="12" t="n">
        <x:v>180.1</x:v>
      </x:c>
      <x:c r="I101" s="12" t="n">
        <x:v>169</x:v>
      </x:c>
      <x:c r="J101" s="12" t="n">
        <x:v>11.1</x:v>
      </x:c>
      <x:c r="K101" s="12" t="n">
        <x:v>176.2</x:v>
      </x:c>
      <x:c r="L101" s="12" t="n">
        <x:v>11.8</x:v>
      </x:c>
      <x:c r="M101" s="12" t="n">
        <x:v>-3.9</x:v>
      </x:c>
      <x:c r="N101" s="11" t="str">
        <x:v>High</x:v>
      </x:c>
      <x:c r="O101" s="13" t="n">
        <x:v>11</x:v>
      </x:c>
      <x:c r="P101" s="13" t="n">
        <x:v>15</x:v>
      </x:c>
      <x:c r="Q101" s="11"/>
      <x:c r="R101" s="11" t="str">
        <x:v>Veteran model: 2025 form, prior-year trend and same team pass/run forecast; team pass volume #11, rush volume #15</x:v>
      </x:c>
    </x:row>
    <x:row r="102" ht="19" customHeight="1">
      <x:c r="A102" s="13" t="n">
        <x:v>98</x:v>
      </x:c>
      <x:c r="B102" s="12" t="n">
        <x:v>83.5</x:v>
      </x:c>
      <x:c r="C102" s="12" t="n">
        <x:f>B102-A102</x:f>
        <x:v>-14.5</x:v>
      </x:c>
      <x:c r="D102" s="11" t="str">
        <x:v>Jaxson Dart</x:v>
      </x:c>
      <x:c r="E102" s="11" t="str">
        <x:v>QB</x:v>
      </x:c>
      <x:c r="F102" s="11" t="str">
        <x:v>NYG</x:v>
      </x:c>
      <x:c r="G102" s="13" t="n">
        <x:v>8</x:v>
      </x:c>
      <x:c r="H102" s="12" t="n">
        <x:v>263.5</x:v>
      </x:c>
      <x:c r="I102" s="12" t="n">
        <x:v>297</x:v>
      </x:c>
      <x:c r="J102" s="12" t="n">
        <x:v>-33.5</x:v>
      </x:c>
      <x:c r="K102" s="12" t="n">
        <x:v>280.2</x:v>
      </x:c>
      <x:c r="L102" s="12" t="n">
        <x:v>12.3</x:v>
      </x:c>
      <x:c r="M102" s="12" t="n">
        <x:v>-4.3</x:v>
      </x:c>
      <x:c r="N102" s="11" t="str">
        <x:v>Medium</x:v>
      </x:c>
      <x:c r="O102" s="13" t="n">
        <x:v>19</x:v>
      </x:c>
      <x:c r="P102" s="13" t="n">
        <x:v>10</x:v>
      </x:c>
      <x:c r="Q102" s="11"/>
      <x:c r="R102" s="11" t="str">
        <x:v>Veteran model: 2025 form, prior-year trend and same team pass/run forecast; team pass volume #19, rush volume #10</x:v>
      </x:c>
    </x:row>
    <x:row r="103" ht="19" customHeight="1">
      <x:c r="A103" s="13" t="n">
        <x:v>99</x:v>
      </x:c>
      <x:c r="B103" s="12" t="n">
        <x:v>100.8</x:v>
      </x:c>
      <x:c r="C103" s="12" t="n">
        <x:f>B103-A103</x:f>
        <x:v>1.7999999999999972</x:v>
      </x:c>
      <x:c r="D103" s="11" t="str">
        <x:v>Jake Ferguson</x:v>
      </x:c>
      <x:c r="E103" s="11" t="str">
        <x:v>TE</x:v>
      </x:c>
      <x:c r="F103" s="11" t="str">
        <x:v>DAL</x:v>
      </x:c>
      <x:c r="G103" s="13" t="n">
        <x:v>14</x:v>
      </x:c>
      <x:c r="H103" s="12" t="n">
        <x:v>141.9</x:v>
      </x:c>
      <x:c r="I103" s="12" t="n">
        <x:v>160</x:v>
      </x:c>
      <x:c r="J103" s="12" t="n">
        <x:v>-18.1</x:v>
      </x:c>
      <x:c r="K103" s="12" t="n">
        <x:v>148.2</x:v>
      </x:c>
      <x:c r="L103" s="12" t="n">
        <x:v>15.1</x:v>
      </x:c>
      <x:c r="M103" s="12" t="n">
        <x:v>-4.4</x:v>
      </x:c>
      <x:c r="N103" s="11" t="str">
        <x:v>High</x:v>
      </x:c>
      <x:c r="O103" s="13" t="n">
        <x:v>2</x:v>
      </x:c>
      <x:c r="P103" s="13" t="n">
        <x:v>20</x:v>
      </x:c>
      <x:c r="Q103" s="11"/>
      <x:c r="R103" s="11" t="str">
        <x:v>Veteran model: 2025 form, prior-year trend and same team pass/run forecast; team pass volume #2, rush volume #20</x:v>
      </x:c>
    </x:row>
    <x:row r="104" ht="19" customHeight="1">
      <x:c r="A104" s="13" t="n">
        <x:v>100</x:v>
      </x:c>
      <x:c r="B104" s="12" t="n">
        <x:v>139.7</x:v>
      </x:c>
      <x:c r="C104" s="12" t="n">
        <x:f>B104-A104</x:f>
        <x:v>39.69999999999999</x:v>
      </x:c>
      <x:c r="D104" s="11" t="str">
        <x:v>Baker Mayfield</x:v>
      </x:c>
      <x:c r="E104" s="11" t="str">
        <x:v>QB</x:v>
      </x:c>
      <x:c r="F104" s="11" t="str">
        <x:v>TB</x:v>
      </x:c>
      <x:c r="G104" s="13" t="n">
        <x:v>10</x:v>
      </x:c>
      <x:c r="H104" s="12" t="n">
        <x:v>282.2</x:v>
      </x:c>
      <x:c r="I104" s="12" t="n">
        <x:v>275</x:v>
      </x:c>
      <x:c r="J104" s="12" t="n">
        <x:v>7.2</x:v>
      </x:c>
      <x:c r="K104" s="12" t="n">
        <x:v>279.7</x:v>
      </x:c>
      <x:c r="L104" s="12" t="n">
        <x:v>13</x:v>
      </x:c>
      <x:c r="M104" s="12" t="n">
        <x:v>-5</x:v>
      </x:c>
      <x:c r="N104" s="11" t="str">
        <x:v>High</x:v>
      </x:c>
      <x:c r="O104" s="13" t="n">
        <x:v>12</x:v>
      </x:c>
      <x:c r="P104" s="13" t="n">
        <x:v>11</x:v>
      </x:c>
      <x:c r="Q104" s="11"/>
      <x:c r="R104" s="11" t="str">
        <x:v>Veteran model: 2025 form, prior-year trend and same team pass/run forecast; team pass volume #12, rush volume #11</x:v>
      </x:c>
    </x:row>
    <x:row r="105" ht="19" customHeight="1">
      <x:c r="A105" s="13" t="n">
        <x:v>101</x:v>
      </x:c>
      <x:c r="B105" s="12" t="n">
        <x:v>193.2</x:v>
      </x:c>
      <x:c r="C105" s="12" t="n">
        <x:f>B105-A105</x:f>
        <x:v>92.19999999999999</x:v>
      </x:c>
      <x:c r="D105" s="11" t="str">
        <x:v>Dalton Schultz</x:v>
      </x:c>
      <x:c r="E105" s="11" t="str">
        <x:v>TE</x:v>
      </x:c>
      <x:c r="F105" s="11" t="str">
        <x:v>HOU</x:v>
      </x:c>
      <x:c r="G105" s="13" t="n">
        <x:v>8</x:v>
      </x:c>
      <x:c r="H105" s="12" t="n">
        <x:v>148.2</x:v>
      </x:c>
      <x:c r="I105" s="12" t="n">
        <x:v>139</x:v>
      </x:c>
      <x:c r="J105" s="12" t="n">
        <x:v>9.2</x:v>
      </x:c>
      <x:c r="K105" s="12" t="n">
        <x:v>145</x:v>
      </x:c>
      <x:c r="L105" s="12" t="n">
        <x:v>12.7</x:v>
      </x:c>
      <x:c r="M105" s="12" t="n">
        <x:v>-6.1</x:v>
      </x:c>
      <x:c r="N105" s="11" t="str">
        <x:v>High</x:v>
      </x:c>
      <x:c r="O105" s="13" t="n">
        <x:v>9</x:v>
      </x:c>
      <x:c r="P105" s="13" t="n">
        <x:v>17</x:v>
      </x:c>
      <x:c r="Q105" s="11"/>
      <x:c r="R105" s="11" t="str">
        <x:v>Veteran model: 2025 form, prior-year trend and same team pass/run forecast; team pass volume #9, rush volume #17</x:v>
      </x:c>
    </x:row>
    <x:row r="106" ht="19" customHeight="1">
      <x:c r="A106" s="13" t="n">
        <x:v>102</x:v>
      </x:c>
      <x:c r="B106" s="12" t="n">
        <x:v>85.1</x:v>
      </x:c>
      <x:c r="C106" s="12" t="n">
        <x:f>B106-A106</x:f>
        <x:v>-16.900000000000006</x:v>
      </x:c>
      <x:c r="D106" s="11" t="str">
        <x:v>Rhamondre Stevenson</x:v>
      </x:c>
      <x:c r="E106" s="11" t="str">
        <x:v>RB</x:v>
      </x:c>
      <x:c r="F106" s="11" t="str">
        <x:v>NE</x:v>
      </x:c>
      <x:c r="G106" s="13" t="n">
        <x:v>11</x:v>
      </x:c>
      <x:c r="H106" s="12" t="n">
        <x:v>167.1</x:v>
      </x:c>
      <x:c r="I106" s="12" t="n">
        <x:v>169</x:v>
      </x:c>
      <x:c r="J106" s="12" t="n">
        <x:v>-1.9</x:v>
      </x:c>
      <x:c r="K106" s="12" t="n">
        <x:v>167.7</x:v>
      </x:c>
      <x:c r="L106" s="12" t="n">
        <x:v>11.3</x:v>
      </x:c>
      <x:c r="M106" s="12" t="n">
        <x:v>-6.6</x:v>
      </x:c>
      <x:c r="N106" s="11" t="str">
        <x:v>High</x:v>
      </x:c>
      <x:c r="O106" s="13" t="n">
        <x:v>27</x:v>
      </x:c>
      <x:c r="P106" s="13" t="n">
        <x:v>12</x:v>
      </x:c>
      <x:c r="Q106" s="11"/>
      <x:c r="R106" s="11" t="str">
        <x:v>Veteran model: 2025 form, prior-year trend and same team pass/run forecast; team pass volume #27, rush volume #12</x:v>
      </x:c>
    </x:row>
    <x:row r="107" ht="19" customHeight="1">
      <x:c r="A107" s="13" t="n">
        <x:v>103</x:v>
      </x:c>
      <x:c r="B107" s="12" t="n">
        <x:v>87.6</x:v>
      </x:c>
      <x:c r="C107" s="12" t="n">
        <x:f>B107-A107</x:f>
        <x:v>-15.400000000000006</x:v>
      </x:c>
      <x:c r="D107" s="11" t="str">
        <x:v>Tony Pollard</x:v>
      </x:c>
      <x:c r="E107" s="11" t="str">
        <x:v>RB</x:v>
      </x:c>
      <x:c r="F107" s="11" t="str">
        <x:v>TEN</x:v>
      </x:c>
      <x:c r="G107" s="13" t="n">
        <x:v>9</x:v>
      </x:c>
      <x:c r="H107" s="12" t="n">
        <x:v>172.8</x:v>
      </x:c>
      <x:c r="I107" s="12" t="n">
        <x:v>160</x:v>
      </x:c>
      <x:c r="J107" s="12" t="n">
        <x:v>12.8</x:v>
      </x:c>
      <x:c r="K107" s="12" t="n">
        <x:v>168.3</x:v>
      </x:c>
      <x:c r="L107" s="12" t="n">
        <x:v>12</x:v>
      </x:c>
      <x:c r="M107" s="12" t="n">
        <x:v>-6.6</x:v>
      </x:c>
      <x:c r="N107" s="11" t="str">
        <x:v>High</x:v>
      </x:c>
      <x:c r="O107" s="13" t="n">
        <x:v>18</x:v>
      </x:c>
      <x:c r="P107" s="13" t="n">
        <x:v>30</x:v>
      </x:c>
      <x:c r="Q107" s="11"/>
      <x:c r="R107" s="11" t="str">
        <x:v>Veteran model: 2025 form, prior-year trend and same team pass/run forecast; team pass volume #18, rush volume #30</x:v>
      </x:c>
    </x:row>
    <x:row r="108" ht="19" customHeight="1">
      <x:c r="A108" s="13" t="n">
        <x:v>104</x:v>
      </x:c>
      <x:c r="B108" s="12" t="n">
        <x:v>117.9</x:v>
      </x:c>
      <x:c r="C108" s="12" t="n">
        <x:f>B108-A108</x:f>
        <x:v>13.900000000000006</x:v>
      </x:c>
      <x:c r="D108" s="11" t="str">
        <x:v>Oronde Gadsden</x:v>
      </x:c>
      <x:c r="E108" s="11" t="str">
        <x:v>TE</x:v>
      </x:c>
      <x:c r="F108" s="11" t="str">
        <x:v>LAC</x:v>
      </x:c>
      <x:c r="G108" s="13" t="n">
        <x:v>7</x:v>
      </x:c>
      <x:c r="H108" s="12" t="n">
        <x:v>147.1</x:v>
      </x:c>
      <x:c r="I108" s="12" t="n">
        <x:v>142</x:v>
      </x:c>
      <x:c r="J108" s="12" t="n">
        <x:v>5.1</x:v>
      </x:c>
      <x:c r="K108" s="12" t="n">
        <x:v>144.5</x:v>
      </x:c>
      <x:c r="L108" s="12" t="n">
        <x:v>12.9</x:v>
      </x:c>
      <x:c r="M108" s="12" t="n">
        <x:v>-6.6</x:v>
      </x:c>
      <x:c r="N108" s="11" t="str">
        <x:v>Medium</x:v>
      </x:c>
      <x:c r="O108" s="13" t="n">
        <x:v>14</x:v>
      </x:c>
      <x:c r="P108" s="13" t="n">
        <x:v>16</x:v>
      </x:c>
      <x:c r="Q108" s="11"/>
      <x:c r="R108" s="11" t="str">
        <x:v>Veteran model: 2025 form, prior-year trend and same team pass/run forecast; team pass volume #14, rush volume #16</x:v>
      </x:c>
    </x:row>
    <x:row r="109" ht="19" customHeight="1">
      <x:c r="A109" s="13" t="n">
        <x:v>105</x:v>
      </x:c>
      <x:c r="B109" s="12" t="n">
        <x:v>95.8</x:v>
      </x:c>
      <x:c r="C109" s="12" t="n">
        <x:f>B109-A109</x:f>
        <x:v>-9.200000000000003</x:v>
      </x:c>
      <x:c r="D109" s="11" t="str">
        <x:v>Chris Godwin</x:v>
      </x:c>
      <x:c r="E109" s="11" t="str">
        <x:v>WR</x:v>
      </x:c>
      <x:c r="F109" s="11" t="str">
        <x:v>TB</x:v>
      </x:c>
      <x:c r="G109" s="13" t="n">
        <x:v>10</x:v>
      </x:c>
      <x:c r="H109" s="12" t="n">
        <x:v>158</x:v>
      </x:c>
      <x:c r="I109" s="12" t="n">
        <x:v>174</x:v>
      </x:c>
      <x:c r="J109" s="12" t="n">
        <x:v>-16</x:v>
      </x:c>
      <x:c r="K109" s="12" t="n">
        <x:v>166</x:v>
      </x:c>
      <x:c r="L109" s="12" t="n">
        <x:v>7.7</x:v>
      </x:c>
      <x:c r="M109" s="12" t="n">
        <x:v>-7.2</x:v>
      </x:c>
      <x:c r="N109" s="11" t="str">
        <x:v>Medium</x:v>
      </x:c>
      <x:c r="O109" s="13" t="n">
        <x:v>12</x:v>
      </x:c>
      <x:c r="P109" s="13" t="n">
        <x:v>11</x:v>
      </x:c>
      <x:c r="Q109" s="11"/>
      <x:c r="R109" s="11" t="str">
        <x:v>Veteran model: 2025 form, prior-year trend and same team pass/run forecast; team pass volume #12, rush volume #11</x:v>
      </x:c>
    </x:row>
    <x:row r="110" ht="19" customHeight="1">
      <x:c r="A110" s="13" t="n">
        <x:v>106</x:v>
      </x:c>
      <x:c r="B110" s="12" t="n">
        <x:v>129.5</x:v>
      </x:c>
      <x:c r="C110" s="12" t="n">
        <x:f>B110-A110</x:f>
        <x:v>23.5</x:v>
      </x:c>
      <x:c r="D110" s="11" t="str">
        <x:v>Mark Andrews</x:v>
      </x:c>
      <x:c r="E110" s="11" t="str">
        <x:v>TE</x:v>
      </x:c>
      <x:c r="F110" s="11" t="str">
        <x:v>BAL</x:v>
      </x:c>
      <x:c r="G110" s="13" t="n">
        <x:v>13</x:v>
      </x:c>
      <x:c r="H110" s="12" t="n">
        <x:v>132.3</x:v>
      </x:c>
      <x:c r="I110" s="12" t="n">
        <x:v>163</x:v>
      </x:c>
      <x:c r="J110" s="12" t="n">
        <x:v>-30.7</x:v>
      </x:c>
      <x:c r="K110" s="12" t="n">
        <x:v>143</x:v>
      </x:c>
      <x:c r="L110" s="12" t="n">
        <x:v>13.3</x:v>
      </x:c>
      <x:c r="M110" s="12" t="n">
        <x:v>-8</x:v>
      </x:c>
      <x:c r="N110" s="11" t="str">
        <x:v>High</x:v>
      </x:c>
      <x:c r="O110" s="13" t="n">
        <x:v>32</x:v>
      </x:c>
      <x:c r="P110" s="13" t="n">
        <x:v>1</x:v>
      </x:c>
      <x:c r="Q110" s="11"/>
      <x:c r="R110" s="11" t="str">
        <x:v>Veteran model: 2025 form, prior-year trend and same team pass/run forecast; team pass volume #32, rush volume #1</x:v>
      </x:c>
    </x:row>
    <x:row r="111" ht="19" customHeight="1">
      <x:c r="A111" s="13" t="n">
        <x:v>107</x:v>
      </x:c>
      <x:c r="B111" s="12" t="n">
        <x:v>138.6</x:v>
      </x:c>
      <x:c r="C111" s="12" t="n">
        <x:f>B111-A111</x:f>
        <x:v>31.599999999999994</x:v>
      </x:c>
      <x:c r="D111" s="11" t="str">
        <x:v>Khalil Shakir</x:v>
      </x:c>
      <x:c r="E111" s="11" t="str">
        <x:v>WR</x:v>
      </x:c>
      <x:c r="F111" s="11" t="str">
        <x:v>BUF</x:v>
      </x:c>
      <x:c r="G111" s="13" t="n">
        <x:v>7</x:v>
      </x:c>
      <x:c r="H111" s="12" t="n">
        <x:v>171.7</x:v>
      </x:c>
      <x:c r="I111" s="12" t="n">
        <x:v>171</x:v>
      </x:c>
      <x:c r="J111" s="12" t="n">
        <x:v>0.7</x:v>
      </x:c>
      <x:c r="K111" s="12" t="n">
        <x:v>171.5</x:v>
      </x:c>
      <x:c r="L111" s="12" t="n">
        <x:v>13.2</x:v>
      </x:c>
      <x:c r="M111" s="12" t="n">
        <x:v>-8</x:v>
      </x:c>
      <x:c r="N111" s="11" t="str">
        <x:v>High</x:v>
      </x:c>
      <x:c r="O111" s="13" t="n">
        <x:v>28</x:v>
      </x:c>
      <x:c r="P111" s="13" t="n">
        <x:v>3</x:v>
      </x:c>
      <x:c r="Q111" s="11" t="str">
        <x:v>Ques</x:v>
      </x:c>
      <x:c r="R111" s="11" t="str">
        <x:v>Veteran model: 2025 form, prior-year trend and same team pass/run forecast; team pass volume #28, rush volume #3</x:v>
      </x:c>
    </x:row>
    <x:row r="112" ht="19" customHeight="1">
      <x:c r="A112" s="13" t="n">
        <x:v>108</x:v>
      </x:c>
      <x:c r="B112" s="12" t="n">
        <x:v>79.9</x:v>
      </x:c>
      <x:c r="C112" s="12" t="n">
        <x:f>B112-A112</x:f>
        <x:v>-28.099999999999994</x:v>
      </x:c>
      <x:c r="D112" s="11" t="str">
        <x:v>RJ Harvey</x:v>
      </x:c>
      <x:c r="E112" s="11" t="str">
        <x:v>RB</x:v>
      </x:c>
      <x:c r="F112" s="11" t="str">
        <x:v>DEN</x:v>
      </x:c>
      <x:c r="G112" s="13" t="n">
        <x:v>10</x:v>
      </x:c>
      <x:c r="H112" s="12" t="n">
        <x:v>189.2</x:v>
      </x:c>
      <x:c r="I112" s="12" t="n">
        <x:v>144</x:v>
      </x:c>
      <x:c r="J112" s="12" t="n">
        <x:v>45.2</x:v>
      </x:c>
      <x:c r="K112" s="12" t="n">
        <x:v>166.6</x:v>
      </x:c>
      <x:c r="L112" s="12" t="n">
        <x:v>12.7</x:v>
      </x:c>
      <x:c r="M112" s="12" t="n">
        <x:v>-8.2</x:v>
      </x:c>
      <x:c r="N112" s="11" t="str">
        <x:v>Medium</x:v>
      </x:c>
      <x:c r="O112" s="13" t="n">
        <x:v>6</x:v>
      </x:c>
      <x:c r="P112" s="13" t="n">
        <x:v>19</x:v>
      </x:c>
      <x:c r="Q112" s="11"/>
      <x:c r="R112" s="11" t="str">
        <x:v>Veteran model: 2025 form, prior-year trend and same team pass/run forecast; team pass volume #6, rush volume #19</x:v>
      </x:c>
    </x:row>
    <x:row r="113" ht="19" customHeight="1">
      <x:c r="A113" s="13" t="n">
        <x:v>109</x:v>
      </x:c>
      <x:c r="B113" s="12" t="n">
        <x:v>164.9</x:v>
      </x:c>
      <x:c r="C113" s="12" t="n">
        <x:f>B113-A113</x:f>
        <x:v>55.900000000000006</x:v>
      </x:c>
      <x:c r="D113" s="11" t="str">
        <x:v>T.J. Hockenson</x:v>
      </x:c>
      <x:c r="E113" s="11" t="str">
        <x:v>TE</x:v>
      </x:c>
      <x:c r="F113" s="11" t="str">
        <x:v>MIN</x:v>
      </x:c>
      <x:c r="G113" s="13" t="n">
        <x:v>6</x:v>
      </x:c>
      <x:c r="H113" s="12" t="n">
        <x:v>135.2</x:v>
      </x:c>
      <x:c r="I113" s="12" t="n">
        <x:v>155</x:v>
      </x:c>
      <x:c r="J113" s="12" t="n">
        <x:v>-19.8</x:v>
      </x:c>
      <x:c r="K113" s="12" t="n">
        <x:v>142.2</x:v>
      </x:c>
      <x:c r="L113" s="12" t="n">
        <x:v>13</x:v>
      </x:c>
      <x:c r="M113" s="12" t="n">
        <x:v>-8.4</x:v>
      </x:c>
      <x:c r="N113" s="11" t="str">
        <x:v>High</x:v>
      </x:c>
      <x:c r="O113" s="13" t="n">
        <x:v>26</x:v>
      </x:c>
      <x:c r="P113" s="13" t="n">
        <x:v>27</x:v>
      </x:c>
      <x:c r="Q113" s="11"/>
      <x:c r="R113" s="11" t="str">
        <x:v>Veteran model: 2025 form, prior-year trend and same team pass/run forecast; team pass volume #26, rush volume #27</x:v>
      </x:c>
    </x:row>
    <x:row r="114" ht="19" customHeight="1">
      <x:c r="A114" s="13" t="n">
        <x:v>110</x:v>
      </x:c>
      <x:c r="B114" s="12" t="n">
        <x:v>102.1</x:v>
      </x:c>
      <x:c r="C114" s="12" t="n">
        <x:f>B114-A114</x:f>
        <x:v>-7.900000000000006</x:v>
      </x:c>
      <x:c r="D114" s="11" t="str">
        <x:v>Michael Pittman</x:v>
      </x:c>
      <x:c r="E114" s="11" t="str">
        <x:v>WR</x:v>
      </x:c>
      <x:c r="F114" s="11" t="str">
        <x:v>PIT</x:v>
      </x:c>
      <x:c r="G114" s="13" t="n">
        <x:v>9</x:v>
      </x:c>
      <x:c r="H114" s="12" t="n">
        <x:v>169.3</x:v>
      </x:c>
      <x:c r="I114" s="12" t="n">
        <x:v>171</x:v>
      </x:c>
      <x:c r="J114" s="12" t="n">
        <x:v>-1.7</x:v>
      </x:c>
      <x:c r="K114" s="12" t="n">
        <x:v>169.9</x:v>
      </x:c>
      <x:c r="L114" s="12" t="n">
        <x:v>13.8</x:v>
      </x:c>
      <x:c r="M114" s="12" t="n">
        <x:v>-9.7</x:v>
      </x:c>
      <x:c r="N114" s="11" t="str">
        <x:v>High</x:v>
      </x:c>
      <x:c r="O114" s="13" t="n">
        <x:v>24</x:v>
      </x:c>
      <x:c r="P114" s="13" t="n">
        <x:v>18</x:v>
      </x:c>
      <x:c r="Q114" s="11" t="str">
        <x:v>Ques</x:v>
      </x:c>
      <x:c r="R114" s="11" t="str">
        <x:v>Veteran model: 2025 form, prior-year trend and new team pass/run forecast; team pass volume #24, rush volume #18</x:v>
      </x:c>
    </x:row>
    <x:row r="115" ht="19" customHeight="1">
      <x:c r="A115" s="13" t="n">
        <x:v>111</x:v>
      </x:c>
      <x:c r="B115" s="12" t="n">
        <x:v>88.5</x:v>
      </x:c>
      <x:c r="C115" s="12" t="n">
        <x:f>B115-A115</x:f>
        <x:v>-22.5</x:v>
      </x:c>
      <x:c r="D115" s="11" t="str">
        <x:v>Rico Dowdle</x:v>
      </x:c>
      <x:c r="E115" s="11" t="str">
        <x:v>RB</x:v>
      </x:c>
      <x:c r="F115" s="11" t="str">
        <x:v>PIT</x:v>
      </x:c>
      <x:c r="G115" s="13" t="n">
        <x:v>9</x:v>
      </x:c>
      <x:c r="H115" s="12" t="n">
        <x:v>166.8</x:v>
      </x:c>
      <x:c r="I115" s="12" t="n">
        <x:v>161</x:v>
      </x:c>
      <x:c r="J115" s="12" t="n">
        <x:v>5.8</x:v>
      </x:c>
      <x:c r="K115" s="12" t="n">
        <x:v>164.8</x:v>
      </x:c>
      <x:c r="L115" s="12" t="n">
        <x:v>13.3</x:v>
      </x:c>
      <x:c r="M115" s="12" t="n">
        <x:v>-10</x:v>
      </x:c>
      <x:c r="N115" s="11" t="str">
        <x:v>High</x:v>
      </x:c>
      <x:c r="O115" s="13" t="n">
        <x:v>24</x:v>
      </x:c>
      <x:c r="P115" s="13" t="n">
        <x:v>18</x:v>
      </x:c>
      <x:c r="Q115" s="11"/>
      <x:c r="R115" s="11" t="str">
        <x:v>Veteran model: 2025 form, prior-year trend and new team pass/run forecast; team pass volume #24, rush volume #18</x:v>
      </x:c>
    </x:row>
    <x:row r="116" ht="19" customHeight="1">
      <x:c r="A116" s="13" t="n">
        <x:v>112</x:v>
      </x:c>
      <x:c r="B116" s="12" t="n">
        <x:v>159.1</x:v>
      </x:c>
      <x:c r="C116" s="12" t="n">
        <x:f>B116-A116</x:f>
        <x:v>47.099999999999994</x:v>
      </x:c>
      <x:c r="D116" s="11" t="str">
        <x:v>Kyler Murray</x:v>
      </x:c>
      <x:c r="E116" s="11" t="str">
        <x:v>QB</x:v>
      </x:c>
      <x:c r="F116" s="11" t="str">
        <x:v>MIN</x:v>
      </x:c>
      <x:c r="G116" s="13" t="n">
        <x:v>6</x:v>
      </x:c>
      <x:c r="H116" s="12" t="n">
        <x:v>251.7</x:v>
      </x:c>
      <x:c r="I116" s="12" t="n">
        <x:v>275</x:v>
      </x:c>
      <x:c r="J116" s="12" t="n">
        <x:v>-23.3</x:v>
      </x:c>
      <x:c r="K116" s="12" t="n">
        <x:v>269.2</x:v>
      </x:c>
      <x:c r="L116" s="12" t="n">
        <x:v>10.3</x:v>
      </x:c>
      <x:c r="M116" s="12" t="n">
        <x:v>-10.3</x:v>
      </x:c>
      <x:c r="N116" s="11" t="str">
        <x:v>Low</x:v>
      </x:c>
      <x:c r="O116" s="13" t="n">
        <x:v>26</x:v>
      </x:c>
      <x:c r="P116" s="13" t="n">
        <x:v>27</x:v>
      </x:c>
      <x:c r="Q116" s="11"/>
      <x:c r="R116" s="11" t="str">
        <x:v>Veteran model: 2025 form, prior-year trend and new team pass/run forecast; team pass volume #26, rush volume #27</x:v>
      </x:c>
    </x:row>
    <x:row r="117" ht="19" customHeight="1">
      <x:c r="A117" s="13" t="n">
        <x:v>113</x:v>
      </x:c>
      <x:c r="B117" s="12" t="n">
        <x:v>109.6</x:v>
      </x:c>
      <x:c r="C117" s="12" t="n">
        <x:f>B117-A117</x:f>
        <x:v>-3.4000000000000057</x:v>
      </x:c>
      <x:c r="D117" s="11" t="str">
        <x:v>Josh Downs</x:v>
      </x:c>
      <x:c r="E117" s="11" t="str">
        <x:v>WR</x:v>
      </x:c>
      <x:c r="F117" s="11" t="str">
        <x:v>IND</x:v>
      </x:c>
      <x:c r="G117" s="13" t="n">
        <x:v>13</x:v>
      </x:c>
      <x:c r="H117" s="12" t="n">
        <x:v>164.7</x:v>
      </x:c>
      <x:c r="I117" s="12" t="n">
        <x:v>172</x:v>
      </x:c>
      <x:c r="J117" s="12" t="n">
        <x:v>-7.3</x:v>
      </x:c>
      <x:c r="K117" s="12" t="n">
        <x:v>167.2</x:v>
      </x:c>
      <x:c r="L117" s="12" t="n">
        <x:v>12.5</x:v>
      </x:c>
      <x:c r="M117" s="12" t="n">
        <x:v>-10.7</x:v>
      </x:c>
      <x:c r="N117" s="11" t="str">
        <x:v>High</x:v>
      </x:c>
      <x:c r="O117" s="13" t="n">
        <x:v>21</x:v>
      </x:c>
      <x:c r="P117" s="13" t="n">
        <x:v>13</x:v>
      </x:c>
      <x:c r="Q117" s="11"/>
      <x:c r="R117" s="11" t="str">
        <x:v>Veteran model: 2025 form, prior-year trend and same team pass/run forecast; team pass volume #21, rush volume #13</x:v>
      </x:c>
    </x:row>
    <x:row r="118" ht="19" customHeight="1">
      <x:c r="A118" s="13" t="n">
        <x:v>114</x:v>
      </x:c>
      <x:c r="B118" s="12" t="n">
        <x:v>51.4</x:v>
      </x:c>
      <x:c r="C118" s="12" t="n">
        <x:f>B118-A118</x:f>
        <x:v>-62.6</x:v>
      </x:c>
      <x:c r="D118" s="11" t="str">
        <x:v>David Montgomery</x:v>
      </x:c>
      <x:c r="E118" s="11" t="str">
        <x:v>RB</x:v>
      </x:c>
      <x:c r="F118" s="11" t="str">
        <x:v>HOU</x:v>
      </x:c>
      <x:c r="G118" s="13" t="n">
        <x:v>8</x:v>
      </x:c>
      <x:c r="H118" s="12" t="n">
        <x:v>139.3</x:v>
      </x:c>
      <x:c r="I118" s="12" t="n">
        <x:v>206</x:v>
      </x:c>
      <x:c r="J118" s="12" t="n">
        <x:v>-66.7</x:v>
      </x:c>
      <x:c r="K118" s="12" t="n">
        <x:v>162.6</x:v>
      </x:c>
      <x:c r="L118" s="12" t="n">
        <x:v>13.4</x:v>
      </x:c>
      <x:c r="M118" s="12" t="n">
        <x:v>-11.8</x:v>
      </x:c>
      <x:c r="N118" s="11" t="str">
        <x:v>High</x:v>
      </x:c>
      <x:c r="O118" s="13" t="n">
        <x:v>9</x:v>
      </x:c>
      <x:c r="P118" s="13" t="n">
        <x:v>17</x:v>
      </x:c>
      <x:c r="Q118" s="11"/>
      <x:c r="R118" s="11" t="str">
        <x:v>Veteran model: 2025 form, prior-year trend and new team pass/run forecast; team pass volume #9, rush volume #17</x:v>
      </x:c>
    </x:row>
    <x:row r="119" ht="19" customHeight="1">
      <x:c r="A119" s="13" t="n">
        <x:v>115</x:v>
      </x:c>
      <x:c r="B119" s="12" t="n">
        <x:v>139.3</x:v>
      </x:c>
      <x:c r="C119" s="12" t="n">
        <x:f>B119-A119</x:f>
        <x:v>24.30000000000001</x:v>
      </x:c>
      <x:c r="D119" s="11" t="str">
        <x:v>Xavier Worthy</x:v>
      </x:c>
      <x:c r="E119" s="11" t="str">
        <x:v>WR</x:v>
      </x:c>
      <x:c r="F119" s="11" t="str">
        <x:v>KC</x:v>
      </x:c>
      <x:c r="G119" s="13" t="n">
        <x:v>5</x:v>
      </x:c>
      <x:c r="H119" s="12" t="n">
        <x:v>168.2</x:v>
      </x:c>
      <x:c r="I119" s="12" t="n">
        <x:v>162</x:v>
      </x:c>
      <x:c r="J119" s="12" t="n">
        <x:v>6.2</x:v>
      </x:c>
      <x:c r="K119" s="12" t="n">
        <x:v>166</x:v>
      </x:c>
      <x:c r="L119" s="12" t="n">
        <x:v>12.9</x:v>
      </x:c>
      <x:c r="M119" s="12" t="n">
        <x:v>-12</x:v>
      </x:c>
      <x:c r="N119" s="11" t="str">
        <x:v>High</x:v>
      </x:c>
      <x:c r="O119" s="13" t="n">
        <x:v>5</x:v>
      </x:c>
      <x:c r="P119" s="13" t="n">
        <x:v>25</x:v>
      </x:c>
      <x:c r="Q119" s="11" t="str">
        <x:v>Ques</x:v>
      </x:c>
      <x:c r="R119" s="11" t="str">
        <x:v>Veteran model: 2025 form, prior-year trend and same team pass/run forecast; team pass volume #5, rush volume #25</x:v>
      </x:c>
    </x:row>
    <x:row r="120" ht="19" customHeight="1">
      <x:c r="A120" s="13" t="n">
        <x:v>116</x:v>
      </x:c>
      <x:c r="B120" s="12" t="n">
        <x:v>215.2</x:v>
      </x:c>
      <x:c r="C120" s="12" t="n">
        <x:f>B120-A120</x:f>
        <x:v>99.19999999999999</x:v>
      </x:c>
      <x:c r="D120" s="11" t="str">
        <x:v>Cade Otton</x:v>
      </x:c>
      <x:c r="E120" s="11" t="str">
        <x:v>TE</x:v>
      </x:c>
      <x:c r="F120" s="11" t="str">
        <x:v>TB</x:v>
      </x:c>
      <x:c r="G120" s="13" t="n">
        <x:v>10</x:v>
      </x:c>
      <x:c r="H120" s="12" t="n">
        <x:v>142.2</x:v>
      </x:c>
      <x:c r="I120" s="12" t="n">
        <x:v>122</x:v>
      </x:c>
      <x:c r="J120" s="12" t="n">
        <x:v>20.2</x:v>
      </x:c>
      <x:c r="K120" s="12" t="n">
        <x:v>135.1</x:v>
      </x:c>
      <x:c r="L120" s="12" t="n">
        <x:v>12.5</x:v>
      </x:c>
      <x:c r="M120" s="12" t="n">
        <x:v>-13.3</x:v>
      </x:c>
      <x:c r="N120" s="11" t="str">
        <x:v>High</x:v>
      </x:c>
      <x:c r="O120" s="13" t="n">
        <x:v>12</x:v>
      </x:c>
      <x:c r="P120" s="13" t="n">
        <x:v>11</x:v>
      </x:c>
      <x:c r="Q120" s="11" t="str">
        <x:v>Ques</x:v>
      </x:c>
      <x:c r="R120" s="11" t="str">
        <x:v>Veteran model: 2025 form, prior-year trend and same team pass/run forecast; team pass volume #12, rush volume #11</x:v>
      </x:c>
    </x:row>
    <x:row r="121" ht="19" customHeight="1">
      <x:c r="A121" s="13" t="n">
        <x:v>117</x:v>
      </x:c>
      <x:c r="B121" s="12" t="n">
        <x:v>115.9</x:v>
      </x:c>
      <x:c r="C121" s="12" t="n">
        <x:f>B121-A121</x:f>
        <x:v>-1.0999999999999943</x:v>
      </x:c>
      <x:c r="D121" s="11" t="str">
        <x:v>Stefon Diggs</x:v>
      </x:c>
      <x:c r="E121" s="11" t="str">
        <x:v>WR</x:v>
      </x:c>
      <x:c r="F121" s="11" t="str">
        <x:v>WAS</x:v>
      </x:c>
      <x:c r="G121" s="13" t="n">
        <x:v>7</x:v>
      </x:c>
      <x:c r="H121" s="12" t="n">
        <x:v>165.6</x:v>
      </x:c>
      <x:c r="I121" s="12" t="n">
        <x:v>157</x:v>
      </x:c>
      <x:c r="J121" s="12" t="n">
        <x:v>8.6</x:v>
      </x:c>
      <x:c r="K121" s="12" t="n">
        <x:v>162.6</x:v>
      </x:c>
      <x:c r="L121" s="12" t="n">
        <x:v>12.1</x:v>
      </x:c>
      <x:c r="M121" s="12" t="n">
        <x:v>-13.7</x:v>
      </x:c>
      <x:c r="N121" s="11" t="str">
        <x:v>High</x:v>
      </x:c>
      <x:c r="O121" s="13" t="n">
        <x:v>29</x:v>
      </x:c>
      <x:c r="P121" s="13" t="n">
        <x:v>8</x:v>
      </x:c>
      <x:c r="Q121" s="11"/>
      <x:c r="R121" s="11" t="str">
        <x:v>Veteran model: 2025 form, prior-year trend and new team pass/run forecast; team pass volume #29, rush volume #8</x:v>
      </x:c>
    </x:row>
    <x:row r="122" ht="19" customHeight="1">
      <x:c r="A122" s="13" t="n">
        <x:v>118</x:v>
      </x:c>
      <x:c r="B122" s="12" t="n">
        <x:v>86</x:v>
      </x:c>
      <x:c r="C122" s="12" t="n">
        <x:f>B122-A122</x:f>
        <x:v>-32</x:v>
      </x:c>
      <x:c r="D122" s="11" t="str">
        <x:v>Makai Lemon</x:v>
      </x:c>
      <x:c r="E122" s="11" t="str">
        <x:v>WR</x:v>
      </x:c>
      <x:c r="F122" s="11" t="str">
        <x:v>PHI</x:v>
      </x:c>
      <x:c r="G122" s="13" t="n">
        <x:v>10</x:v>
      </x:c>
      <x:c r="H122" s="12" t="n">
        <x:v>145.4</x:v>
      </x:c>
      <x:c r="I122" s="12" t="n">
        <x:v>169</x:v>
      </x:c>
      <x:c r="J122" s="12" t="n">
        <x:v>-23.6</x:v>
      </x:c>
      <x:c r="K122" s="12" t="n">
        <x:v>163.1</x:v>
      </x:c>
      <x:c r="L122" s="12" t="n">
        <x:v>12.5</x:v>
      </x:c>
      <x:c r="M122" s="12" t="n">
        <x:v>-13.8</x:v>
      </x:c>
      <x:c r="N122" s="11" t="str">
        <x:v>Low</x:v>
      </x:c>
      <x:c r="O122" s="13" t="n">
        <x:v>31</x:v>
      </x:c>
      <x:c r="P122" s="13" t="n">
        <x:v>2</x:v>
      </x:c>
      <x:c r="Q122" s="11" t="str">
        <x:v>Ques</x:v>
      </x:c>
      <x:c r="R122" s="11" t="str">
        <x:v>Rookie model: pick 20, age and destination-team environment; team pass volume #31, rush volume #2</x:v>
      </x:c>
    </x:row>
    <x:row r="123" ht="19" customHeight="1">
      <x:c r="A123" s="13" t="n">
        <x:v>119</x:v>
      </x:c>
      <x:c r="B123" s="12" t="n">
        <x:v>116.6</x:v>
      </x:c>
      <x:c r="C123" s="12" t="n">
        <x:f>B123-A123</x:f>
        <x:v>-2.4000000000000057</x:v>
      </x:c>
      <x:c r="D123" s="11" t="str">
        <x:v>Jonathon Brooks</x:v>
      </x:c>
      <x:c r="E123" s="11" t="str">
        <x:v>RB</x:v>
      </x:c>
      <x:c r="F123" s="11" t="str">
        <x:v>CAR</x:v>
      </x:c>
      <x:c r="G123" s="13" t="n">
        <x:v>5</x:v>
      </x:c>
      <x:c r="H123" s="12" t="n">
        <x:v>96.2</x:v>
      </x:c>
      <x:c r="I123" s="12" t="n">
        <x:v>155</x:v>
      </x:c>
      <x:c r="J123" s="12" t="n">
        <x:v>-58.8</x:v>
      </x:c>
      <x:c r="K123" s="12" t="n">
        <x:v>140.3</x:v>
      </x:c>
      <x:c r="L123" s="12" t="n">
        <x:v>7.2</x:v>
      </x:c>
      <x:c r="M123" s="12" t="n">
        <x:v>-15.8</x:v>
      </x:c>
      <x:c r="N123" s="11" t="str">
        <x:v>Low</x:v>
      </x:c>
      <x:c r="O123" s="13" t="n">
        <x:v>22</x:v>
      </x:c>
      <x:c r="P123" s="13" t="n">
        <x:v>23</x:v>
      </x:c>
      <x:c r="Q123" s="11"/>
      <x:c r="R123" s="11" t="str">
        <x:v>Veteran model: 2024 form, prior-year trend and same team pass/run forecast; team pass volume #22, rush volume #23</x:v>
      </x:c>
    </x:row>
    <x:row r="124" ht="19" customHeight="1">
      <x:c r="A124" s="13" t="n">
        <x:v>120</x:v>
      </x:c>
      <x:c r="B124" s="12" t="n">
        <x:v>192.5</x:v>
      </x:c>
      <x:c r="C124" s="12" t="n">
        <x:f>B124-A124</x:f>
        <x:v>72.5</x:v>
      </x:c>
      <x:c r="D124" s="11" t="str">
        <x:v>Malik Willis</x:v>
      </x:c>
      <x:c r="E124" s="11" t="str">
        <x:v>QB</x:v>
      </x:c>
      <x:c r="F124" s="11" t="str">
        <x:v>MIA</x:v>
      </x:c>
      <x:c r="G124" s="13" t="n">
        <x:v>6</x:v>
      </x:c>
      <x:c r="H124" s="12" t="n">
        <x:v>216.9</x:v>
      </x:c>
      <x:c r="I124" s="12" t="n">
        <x:v>270</x:v>
      </x:c>
      <x:c r="J124" s="12" t="n">
        <x:v>-53.1</x:v>
      </x:c>
      <x:c r="K124" s="12" t="n">
        <x:v>256.7</x:v>
      </x:c>
      <x:c r="L124" s="12" t="n">
        <x:v>9.2</x:v>
      </x:c>
      <x:c r="M124" s="12" t="n">
        <x:v>-16</x:v>
      </x:c>
      <x:c r="N124" s="11" t="str">
        <x:v>Low</x:v>
      </x:c>
      <x:c r="O124" s="13" t="n">
        <x:v>25</x:v>
      </x:c>
      <x:c r="P124" s="13" t="n">
        <x:v>24</x:v>
      </x:c>
      <x:c r="Q124" s="11"/>
      <x:c r="R124" s="11" t="str">
        <x:v>Veteran model: 2025 form, prior-year trend and new team pass/run forecast; team pass volume #25, rush volume #24</x:v>
      </x:c>
    </x:row>
    <x:row r="125" ht="19" customHeight="1">
      <x:c r="A125" s="13" t="n">
        <x:v>121</x:v>
      </x:c>
      <x:c r="B125" s="12" t="n">
        <x:v>76.1</x:v>
      </x:c>
      <x:c r="C125" s="12" t="n">
        <x:f>B125-A125</x:f>
        <x:v>-44.900000000000006</x:v>
      </x:c>
      <x:c r="D125" s="11" t="str">
        <x:v>Chuba Hubbard</x:v>
      </x:c>
      <x:c r="E125" s="11" t="str">
        <x:v>RB</x:v>
      </x:c>
      <x:c r="F125" s="11" t="str">
        <x:v>CAR</x:v>
      </x:c>
      <x:c r="G125" s="13" t="n">
        <x:v>5</x:v>
      </x:c>
      <x:c r="H125" s="12" t="n">
        <x:v>155.9</x:v>
      </x:c>
      <x:c r="I125" s="12" t="n">
        <x:v>148</x:v>
      </x:c>
      <x:c r="J125" s="12" t="n">
        <x:v>7.9</x:v>
      </x:c>
      <x:c r="K125" s="12" t="n">
        <x:v>153.1</x:v>
      </x:c>
      <x:c r="L125" s="12" t="n">
        <x:v>11.2</x:v>
      </x:c>
      <x:c r="M125" s="12" t="n">
        <x:v>-16.1</x:v>
      </x:c>
      <x:c r="N125" s="11" t="str">
        <x:v>High</x:v>
      </x:c>
      <x:c r="O125" s="13" t="n">
        <x:v>22</x:v>
      </x:c>
      <x:c r="P125" s="13" t="n">
        <x:v>23</x:v>
      </x:c>
      <x:c r="Q125" s="11" t="str">
        <x:v>Ques</x:v>
      </x:c>
      <x:c r="R125" s="11" t="str">
        <x:v>Veteran model: 2025 form, prior-year trend and same team pass/run forecast; team pass volume #22, rush volume #23</x:v>
      </x:c>
    </x:row>
    <x:row r="126" ht="19" customHeight="1">
      <x:c r="A126" s="13" t="n">
        <x:v>122</x:v>
      </x:c>
      <x:c r="B126" s="12" t="n">
        <x:v>131.3</x:v>
      </x:c>
      <x:c r="C126" s="12" t="n">
        <x:f>B126-A126</x:f>
        <x:v>9.300000000000011</x:v>
      </x:c>
      <x:c r="D126" s="11" t="str">
        <x:v>Romeo Doubs</x:v>
      </x:c>
      <x:c r="E126" s="11" t="str">
        <x:v>WR</x:v>
      </x:c>
      <x:c r="F126" s="11" t="str">
        <x:v>NE</x:v>
      </x:c>
      <x:c r="G126" s="13" t="n">
        <x:v>11</x:v>
      </x:c>
      <x:c r="H126" s="12" t="n">
        <x:v>162.4</x:v>
      </x:c>
      <x:c r="I126" s="12" t="n">
        <x:v>161</x:v>
      </x:c>
      <x:c r="J126" s="12" t="n">
        <x:v>1.4</x:v>
      </x:c>
      <x:c r="K126" s="12" t="n">
        <x:v>161.9</x:v>
      </x:c>
      <x:c r="L126" s="12" t="n">
        <x:v>13.9</x:v>
      </x:c>
      <x:c r="M126" s="12" t="n">
        <x:v>-16.3</x:v>
      </x:c>
      <x:c r="N126" s="11" t="str">
        <x:v>High</x:v>
      </x:c>
      <x:c r="O126" s="13" t="n">
        <x:v>27</x:v>
      </x:c>
      <x:c r="P126" s="13" t="n">
        <x:v>12</x:v>
      </x:c>
      <x:c r="Q126" s="11"/>
      <x:c r="R126" s="11" t="str">
        <x:v>Veteran model: 2025 form, prior-year trend and new team pass/run forecast; team pass volume #27, rush volume #12</x:v>
      </x:c>
    </x:row>
    <x:row r="127" ht="19" customHeight="1">
      <x:c r="A127" s="13" t="n">
        <x:v>123</x:v>
      </x:c>
      <x:c r="B127" s="12" t="n">
        <x:v>146.6</x:v>
      </x:c>
      <x:c r="C127" s="12" t="n">
        <x:f>B127-A127</x:f>
        <x:v>23.599999999999994</x:v>
      </x:c>
      <x:c r="D127" s="11" t="str">
        <x:v>Jordan Love</x:v>
      </x:c>
      <x:c r="E127" s="11" t="str">
        <x:v>QB</x:v>
      </x:c>
      <x:c r="F127" s="11" t="str">
        <x:v>GB</x:v>
      </x:c>
      <x:c r="G127" s="13" t="n">
        <x:v>11</x:v>
      </x:c>
      <x:c r="H127" s="12" t="n">
        <x:v>257.4</x:v>
      </x:c>
      <x:c r="I127" s="12" t="n">
        <x:v>279</x:v>
      </x:c>
      <x:c r="J127" s="12" t="n">
        <x:v>-21.6</x:v>
      </x:c>
      <x:c r="K127" s="12" t="n">
        <x:v>265</x:v>
      </x:c>
      <x:c r="L127" s="12" t="n">
        <x:v>13.3</x:v>
      </x:c>
      <x:c r="M127" s="12" t="n">
        <x:v>-16.6</x:v>
      </x:c>
      <x:c r="N127" s="11" t="str">
        <x:v>High</x:v>
      </x:c>
      <x:c r="O127" s="13" t="n">
        <x:v>30</x:v>
      </x:c>
      <x:c r="P127" s="13" t="n">
        <x:v>4</x:v>
      </x:c>
      <x:c r="Q127" s="11"/>
      <x:c r="R127" s="11" t="str">
        <x:v>Veteran model: 2025 form, prior-year trend and same team pass/run forecast; team pass volume #30, rush volume #4</x:v>
      </x:c>
    </x:row>
    <x:row r="128" ht="19" customHeight="1">
      <x:c r="A128" s="13" t="n">
        <x:v>124</x:v>
      </x:c>
      <x:c r="B128" s="12" t="n">
        <x:v>111.4</x:v>
      </x:c>
      <x:c r="C128" s="12" t="n">
        <x:f>B128-A128</x:f>
        <x:v>-12.599999999999994</x:v>
      </x:c>
      <x:c r="D128" s="11" t="str">
        <x:v>Kenny Gainwell</x:v>
      </x:c>
      <x:c r="E128" s="11" t="str">
        <x:v>RB</x:v>
      </x:c>
      <x:c r="F128" s="11" t="str">
        <x:v>TB</x:v>
      </x:c>
      <x:c r="G128" s="13" t="n">
        <x:v>10</x:v>
      </x:c>
      <x:c r="H128" s="12" t="n">
        <x:v>158.2</x:v>
      </x:c>
      <x:c r="I128" s="12" t="n">
        <x:v>152</x:v>
      </x:c>
      <x:c r="J128" s="12" t="n">
        <x:v>6.2</x:v>
      </x:c>
      <x:c r="K128" s="12" t="n">
        <x:v>156</x:v>
      </x:c>
      <x:c r="L128" s="12" t="n">
        <x:v>13.5</x:v>
      </x:c>
      <x:c r="M128" s="12" t="n">
        <x:v>-17.2</x:v>
      </x:c>
      <x:c r="N128" s="11" t="str">
        <x:v>High</x:v>
      </x:c>
      <x:c r="O128" s="13" t="n">
        <x:v>12</x:v>
      </x:c>
      <x:c r="P128" s="13" t="n">
        <x:v>11</x:v>
      </x:c>
      <x:c r="Q128" s="11"/>
      <x:c r="R128" s="11" t="str">
        <x:v>Veteran model: 2025 form, prior-year trend and new team pass/run forecast; team pass volume #12, rush volume #11</x:v>
      </x:c>
    </x:row>
    <x:row r="129" ht="19" customHeight="1">
      <x:c r="A129" s="13" t="n">
        <x:v>125</x:v>
      </x:c>
      <x:c r="B129" s="12" t="n">
        <x:v>177.5</x:v>
      </x:c>
      <x:c r="C129" s="12" t="n">
        <x:f>B129-A129</x:f>
        <x:v>52.5</x:v>
      </x:c>
      <x:c r="D129" s="11" t="str">
        <x:v>Sam Darnold</x:v>
      </x:c>
      <x:c r="E129" s="11" t="str">
        <x:v>QB</x:v>
      </x:c>
      <x:c r="F129" s="11" t="str">
        <x:v>SEA</x:v>
      </x:c>
      <x:c r="G129" s="13" t="n">
        <x:v>11</x:v>
      </x:c>
      <x:c r="H129" s="12" t="n">
        <x:v>263.8</x:v>
      </x:c>
      <x:c r="I129" s="12" t="n">
        <x:v>263</x:v>
      </x:c>
      <x:c r="J129" s="12" t="n">
        <x:v>0.8</x:v>
      </x:c>
      <x:c r="K129" s="12" t="n">
        <x:v>263.5</x:v>
      </x:c>
      <x:c r="L129" s="12" t="n">
        <x:v>12.9</x:v>
      </x:c>
      <x:c r="M129" s="12" t="n">
        <x:v>-17.2</x:v>
      </x:c>
      <x:c r="N129" s="11" t="str">
        <x:v>High</x:v>
      </x:c>
      <x:c r="O129" s="13" t="n">
        <x:v>23</x:v>
      </x:c>
      <x:c r="P129" s="13" t="n">
        <x:v>21</x:v>
      </x:c>
      <x:c r="Q129" s="11"/>
      <x:c r="R129" s="11" t="str">
        <x:v>Veteran model: 2025 form, prior-year trend and same team pass/run forecast; team pass volume #23, rush volume #21</x:v>
      </x:c>
    </x:row>
    <x:row r="130" ht="19" customHeight="1">
      <x:c r="A130" s="13" t="n">
        <x:v>126</x:v>
      </x:c>
      <x:c r="B130" s="12" t="n">
        <x:v>96</x:v>
      </x:c>
      <x:c r="C130" s="12" t="n">
        <x:f>B130-A130</x:f>
        <x:v>-30</x:v>
      </x:c>
      <x:c r="D130" s="11" t="str">
        <x:v>Kyle Monangai</x:v>
      </x:c>
      <x:c r="E130" s="11" t="str">
        <x:v>RB</x:v>
      </x:c>
      <x:c r="F130" s="11" t="str">
        <x:v>CHI</x:v>
      </x:c>
      <x:c r="G130" s="13" t="n">
        <x:v>10</x:v>
      </x:c>
      <x:c r="H130" s="12" t="n">
        <x:v>153</x:v>
      </x:c>
      <x:c r="I130" s="12" t="n">
        <x:v>155</x:v>
      </x:c>
      <x:c r="J130" s="12" t="n">
        <x:v>-2</x:v>
      </x:c>
      <x:c r="K130" s="12" t="n">
        <x:v>154</x:v>
      </x:c>
      <x:c r="L130" s="12" t="n">
        <x:v>12.5</x:v>
      </x:c>
      <x:c r="M130" s="12" t="n">
        <x:v>-17.4</x:v>
      </x:c>
      <x:c r="N130" s="11" t="str">
        <x:v>Medium</x:v>
      </x:c>
      <x:c r="O130" s="13" t="n">
        <x:v>13</x:v>
      </x:c>
      <x:c r="P130" s="13" t="n">
        <x:v>6</x:v>
      </x:c>
      <x:c r="Q130" s="11" t="str">
        <x:v>Ques</x:v>
      </x:c>
      <x:c r="R130" s="11" t="str">
        <x:v>Veteran model: 2025 form, prior-year trend and same team pass/run forecast; team pass volume #13, rush volume #6</x:v>
      </x:c>
    </x:row>
    <x:row r="131" ht="19" customHeight="1">
      <x:c r="A131" s="13" t="n">
        <x:v>127</x:v>
      </x:c>
      <x:c r="B131" s="12" t="n">
        <x:v>61.1</x:v>
      </x:c>
      <x:c r="C131" s="12" t="n">
        <x:f>B131-A131</x:f>
        <x:v>-65.9</x:v>
      </x:c>
      <x:c r="D131" s="11" t="str">
        <x:v>Bhayshul Tuten</x:v>
      </x:c>
      <x:c r="E131" s="11" t="str">
        <x:v>RB</x:v>
      </x:c>
      <x:c r="F131" s="11" t="str">
        <x:v>JAX</x:v>
      </x:c>
      <x:c r="G131" s="13" t="n">
        <x:v>7</x:v>
      </x:c>
      <x:c r="H131" s="12" t="n">
        <x:v>124.6</x:v>
      </x:c>
      <x:c r="I131" s="12" t="n">
        <x:v>175</x:v>
      </x:c>
      <x:c r="J131" s="12" t="n">
        <x:v>-50.4</x:v>
      </x:c>
      <x:c r="K131" s="12" t="n">
        <x:v>149.8</x:v>
      </x:c>
      <x:c r="L131" s="12" t="n">
        <x:v>11</x:v>
      </x:c>
      <x:c r="M131" s="12" t="n">
        <x:v>-18</x:v>
      </x:c>
      <x:c r="N131" s="11" t="str">
        <x:v>Medium</x:v>
      </x:c>
      <x:c r="O131" s="13" t="n">
        <x:v>11</x:v>
      </x:c>
      <x:c r="P131" s="13" t="n">
        <x:v>15</x:v>
      </x:c>
      <x:c r="Q131" s="11"/>
      <x:c r="R131" s="11" t="str">
        <x:v>Veteran model: 2025 form, prior-year trend and same team pass/run forecast; team pass volume #11, rush volume #15</x:v>
      </x:c>
    </x:row>
    <x:row r="132" ht="19" customHeight="1">
      <x:c r="A132" s="13" t="n">
        <x:v>128</x:v>
      </x:c>
      <x:c r="B132" s="12" t="n">
        <x:v>137.6</x:v>
      </x:c>
      <x:c r="C132" s="12" t="n">
        <x:f>B132-A132</x:f>
        <x:v>9.599999999999994</x:v>
      </x:c>
      <x:c r="D132" s="11" t="str">
        <x:v>Deebo Samuel</x:v>
      </x:c>
      <x:c r="E132" s="11" t="str">
        <x:v>WR</x:v>
      </x:c>
      <x:c r="F132" s="11" t="str">
        <x:v>SF</x:v>
      </x:c>
      <x:c r="G132" s="13" t="n">
        <x:v>8</x:v>
      </x:c>
      <x:c r="H132" s="12" t="n">
        <x:v>161.5</x:v>
      </x:c>
      <x:c r="I132" s="12" t="n">
        <x:v>156</x:v>
      </x:c>
      <x:c r="J132" s="12" t="n">
        <x:v>5.5</x:v>
      </x:c>
      <x:c r="K132" s="12" t="n">
        <x:v>159.5</x:v>
      </x:c>
      <x:c r="L132" s="12" t="n">
        <x:v>14.2</x:v>
      </x:c>
      <x:c r="M132" s="12" t="n">
        <x:v>-18.6</x:v>
      </x:c>
      <x:c r="N132" s="11" t="str">
        <x:v>High</x:v>
      </x:c>
      <x:c r="O132" s="13" t="n">
        <x:v>16</x:v>
      </x:c>
      <x:c r="P132" s="13" t="n">
        <x:v>9</x:v>
      </x:c>
      <x:c r="Q132" s="11"/>
      <x:c r="R132" s="11" t="str">
        <x:v>Veteran model: 2025 form, prior-year trend and new team pass/run forecast; team pass volume #16, rush volume #9</x:v>
      </x:c>
    </x:row>
    <x:row r="133" ht="19" customHeight="1">
      <x:c r="A133" s="13" t="n">
        <x:v>129</x:v>
      </x:c>
      <x:c r="B133" s="12" t="n">
        <x:v>185.4</x:v>
      </x:c>
      <x:c r="C133" s="12" t="n">
        <x:f>B133-A133</x:f>
        <x:v>56.400000000000006</x:v>
      </x:c>
      <x:c r="D133" s="11" t="str">
        <x:v>AJ Barner</x:v>
      </x:c>
      <x:c r="E133" s="11" t="str">
        <x:v>TE</x:v>
      </x:c>
      <x:c r="F133" s="11" t="str">
        <x:v>SEA</x:v>
      </x:c>
      <x:c r="G133" s="13" t="n">
        <x:v>11</x:v>
      </x:c>
      <x:c r="H133" s="12" t="n">
        <x:v>122.3</x:v>
      </x:c>
      <x:c r="I133" s="12" t="n">
        <x:v>142</x:v>
      </x:c>
      <x:c r="J133" s="12" t="n">
        <x:v>-19.7</x:v>
      </x:c>
      <x:c r="K133" s="12" t="n">
        <x:v>129.2</x:v>
      </x:c>
      <x:c r="L133" s="12" t="n">
        <x:v>13.2</x:v>
      </x:c>
      <x:c r="M133" s="12" t="n">
        <x:v>-18.6</x:v>
      </x:c>
      <x:c r="N133" s="11" t="str">
        <x:v>High</x:v>
      </x:c>
      <x:c r="O133" s="13" t="n">
        <x:v>23</x:v>
      </x:c>
      <x:c r="P133" s="13" t="n">
        <x:v>21</x:v>
      </x:c>
      <x:c r="Q133" s="11"/>
      <x:c r="R133" s="11" t="str">
        <x:v>Veteran model: 2025 form, prior-year trend and same team pass/run forecast; team pass volume #23, rush volume #21</x:v>
      </x:c>
    </x:row>
    <x:row r="134" ht="19" customHeight="1">
      <x:c r="A134" s="13" t="n">
        <x:v>130</x:v>
      </x:c>
      <x:c r="B134" s="12" t="n">
        <x:v>176.1</x:v>
      </x:c>
      <x:c r="C134" s="12" t="n">
        <x:f>B134-A134</x:f>
        <x:v>46.099999999999994</x:v>
      </x:c>
      <x:c r="D134" s="11" t="str">
        <x:v>Tank Dell</x:v>
      </x:c>
      <x:c r="E134" s="11" t="str">
        <x:v>WR</x:v>
      </x:c>
      <x:c r="F134" s="11" t="str">
        <x:v>HOU</x:v>
      </x:c>
      <x:c r="G134" s="13" t="n">
        <x:v>8</x:v>
      </x:c>
      <x:c r="H134" s="12" t="n">
        <x:v>191.8</x:v>
      </x:c>
      <x:c r="I134" s="12" t="n">
        <x:v>116</x:v>
      </x:c>
      <x:c r="J134" s="12" t="n">
        <x:v>75.8</x:v>
      </x:c>
      <x:c r="K134" s="12" t="n">
        <x:v>153.9</x:v>
      </x:c>
      <x:c r="L134" s="12" t="n">
        <x:v>11.5</x:v>
      </x:c>
      <x:c r="M134" s="12" t="n">
        <x:v>-18.9</x:v>
      </x:c>
      <x:c r="N134" s="11" t="str">
        <x:v>Medium</x:v>
      </x:c>
      <x:c r="O134" s="13" t="n">
        <x:v>9</x:v>
      </x:c>
      <x:c r="P134" s="13" t="n">
        <x:v>17</x:v>
      </x:c>
      <x:c r="Q134" s="11" t="str">
        <x:v>Ques</x:v>
      </x:c>
      <x:c r="R134" s="11" t="str">
        <x:v>Veteran model: 2024 form, prior-year trend and same team pass/run forecast; team pass volume #9, rush volume #17</x:v>
      </x:c>
    </x:row>
    <x:row r="135" ht="19" customHeight="1">
      <x:c r="A135" s="13" t="n">
        <x:v>131</x:v>
      </x:c>
      <x:c r="B135" s="12" t="n">
        <x:v>205.3</x:v>
      </x:c>
      <x:c r="C135" s="12" t="n">
        <x:f>B135-A135</x:f>
        <x:v>74.30000000000001</x:v>
      </x:c>
      <x:c r="D135" s="11" t="str">
        <x:v>Tre Tucker</x:v>
      </x:c>
      <x:c r="E135" s="11" t="str">
        <x:v>WR</x:v>
      </x:c>
      <x:c r="F135" s="11" t="str">
        <x:v>LV</x:v>
      </x:c>
      <x:c r="G135" s="13" t="n">
        <x:v>13</x:v>
      </x:c>
      <x:c r="H135" s="12" t="n">
        <x:v>173.3</x:v>
      </x:c>
      <x:c r="I135" s="12" t="n">
        <x:v>126</x:v>
      </x:c>
      <x:c r="J135" s="12" t="n">
        <x:v>47.3</x:v>
      </x:c>
      <x:c r="K135" s="12" t="n">
        <x:v>156.7</x:v>
      </x:c>
      <x:c r="L135" s="12" t="n">
        <x:v>13.1</x:v>
      </x:c>
      <x:c r="M135" s="12" t="n">
        <x:v>-19.3</x:v>
      </x:c>
      <x:c r="N135" s="11" t="str">
        <x:v>High</x:v>
      </x:c>
      <x:c r="O135" s="13" t="n">
        <x:v>15</x:v>
      </x:c>
      <x:c r="P135" s="13" t="n">
        <x:v>32</x:v>
      </x:c>
      <x:c r="Q135" s="11"/>
      <x:c r="R135" s="11" t="str">
        <x:v>Veteran model: 2025 form, prior-year trend and same team pass/run forecast; team pass volume #15, rush volume #32</x:v>
      </x:c>
    </x:row>
    <x:row r="136" ht="19" customHeight="1">
      <x:c r="A136" s="13" t="n">
        <x:v>132</x:v>
      </x:c>
      <x:c r="B136" s="12" t="n">
        <x:v>123</x:v>
      </x:c>
      <x:c r="C136" s="12" t="n">
        <x:f>B136-A136</x:f>
        <x:v>-9</x:v>
      </x:c>
      <x:c r="D136" s="11" t="str">
        <x:v>Aaron Jones</x:v>
      </x:c>
      <x:c r="E136" s="11" t="str">
        <x:v>RB</x:v>
      </x:c>
      <x:c r="F136" s="11" t="str">
        <x:v>MIN</x:v>
      </x:c>
      <x:c r="G136" s="13" t="n">
        <x:v>6</x:v>
      </x:c>
      <x:c r="H136" s="12" t="n">
        <x:v>148</x:v>
      </x:c>
      <x:c r="I136" s="12" t="n">
        <x:v>137</x:v>
      </x:c>
      <x:c r="J136" s="12" t="n">
        <x:v>11</x:v>
      </x:c>
      <x:c r="K136" s="12" t="n">
        <x:v>144.2</x:v>
      </x:c>
      <x:c r="L136" s="12" t="n">
        <x:v>10</x:v>
      </x:c>
      <x:c r="M136" s="12" t="n">
        <x:v>-19.6</x:v>
      </x:c>
      <x:c r="N136" s="11" t="str">
        <x:v>High</x:v>
      </x:c>
      <x:c r="O136" s="13" t="n">
        <x:v>26</x:v>
      </x:c>
      <x:c r="P136" s="13" t="n">
        <x:v>27</x:v>
      </x:c>
      <x:c r="Q136" s="11"/>
      <x:c r="R136" s="11" t="str">
        <x:v>Veteran model: 2025 form, prior-year trend and same team pass/run forecast; team pass volume #26, rush volume #27</x:v>
      </x:c>
    </x:row>
    <x:row r="137" ht="19" customHeight="1">
      <x:c r="A137" s="13" t="n">
        <x:v>133</x:v>
      </x:c>
      <x:c r="B137" s="12" t="n">
        <x:v>239.9</x:v>
      </x:c>
      <x:c r="C137" s="12" t="n">
        <x:f>B137-A137</x:f>
        <x:v>106.9</x:v>
      </x:c>
      <x:c r="D137" s="11" t="str">
        <x:v>Pat Freiermuth</x:v>
      </x:c>
      <x:c r="E137" s="11" t="str">
        <x:v>TE</x:v>
      </x:c>
      <x:c r="F137" s="11" t="str">
        <x:v>PIT</x:v>
      </x:c>
      <x:c r="G137" s="13" t="n">
        <x:v>9</x:v>
      </x:c>
      <x:c r="H137" s="12" t="n">
        <x:v>126.8</x:v>
      </x:c>
      <x:c r="I137" s="12" t="n">
        <x:v>128</x:v>
      </x:c>
      <x:c r="J137" s="12" t="n">
        <x:v>-1.2</x:v>
      </x:c>
      <x:c r="K137" s="12" t="n">
        <x:v>127.2</x:v>
      </x:c>
      <x:c r="L137" s="12" t="n">
        <x:v>12.9</x:v>
      </x:c>
      <x:c r="M137" s="12" t="n">
        <x:v>-19.7</x:v>
      </x:c>
      <x:c r="N137" s="11" t="str">
        <x:v>High</x:v>
      </x:c>
      <x:c r="O137" s="13" t="n">
        <x:v>24</x:v>
      </x:c>
      <x:c r="P137" s="13" t="n">
        <x:v>18</x:v>
      </x:c>
      <x:c r="Q137" s="11"/>
      <x:c r="R137" s="11" t="str">
        <x:v>Veteran model: 2025 form, prior-year trend and same team pass/run forecast; team pass volume #24, rush volume #18</x:v>
      </x:c>
    </x:row>
    <x:row r="138" ht="19" customHeight="1">
      <x:c r="A138" s="13" t="n">
        <x:v>134</x:v>
      </x:c>
      <x:c r="B138" s="12" t="n">
        <x:v>160.9</x:v>
      </x:c>
      <x:c r="C138" s="12" t="n">
        <x:f>B138-A138</x:f>
        <x:v>26.900000000000006</x:v>
      </x:c>
      <x:c r="D138" s="11" t="str">
        <x:v>Tyrone Tracy</x:v>
      </x:c>
      <x:c r="E138" s="11" t="str">
        <x:v>RB</x:v>
      </x:c>
      <x:c r="F138" s="11" t="str">
        <x:v>NYG</x:v>
      </x:c>
      <x:c r="G138" s="13" t="n">
        <x:v>8</x:v>
      </x:c>
      <x:c r="H138" s="12" t="n">
        <x:v>171.5</x:v>
      </x:c>
      <x:c r="I138" s="12" t="n">
        <x:v>111</x:v>
      </x:c>
      <x:c r="J138" s="12" t="n">
        <x:v>60.5</x:v>
      </x:c>
      <x:c r="K138" s="12" t="n">
        <x:v>150.4</x:v>
      </x:c>
      <x:c r="L138" s="12" t="n">
        <x:v>12.6</x:v>
      </x:c>
      <x:c r="M138" s="12" t="n">
        <x:v>-20.2</x:v>
      </x:c>
      <x:c r="N138" s="11" t="str">
        <x:v>High</x:v>
      </x:c>
      <x:c r="O138" s="13" t="n">
        <x:v>19</x:v>
      </x:c>
      <x:c r="P138" s="13" t="n">
        <x:v>10</x:v>
      </x:c>
      <x:c r="Q138" s="11"/>
      <x:c r="R138" s="11" t="str">
        <x:v>Veteran model: 2025 form, prior-year trend and same team pass/run forecast; team pass volume #19, rush volume #10</x:v>
      </x:c>
    </x:row>
    <x:row r="139" ht="19" customHeight="1">
      <x:c r="A139" s="13" t="n">
        <x:v>135</x:v>
      </x:c>
      <x:c r="B139" s="12" t="n">
        <x:v>204.9</x:v>
      </x:c>
      <x:c r="C139" s="12" t="n">
        <x:f>B139-A139</x:f>
        <x:v>69.9</x:v>
      </x:c>
      <x:c r="D139" s="11" t="str">
        <x:v>C.J. Stroud</x:v>
      </x:c>
      <x:c r="E139" s="11" t="str">
        <x:v>QB</x:v>
      </x:c>
      <x:c r="F139" s="11" t="str">
        <x:v>HOU</x:v>
      </x:c>
      <x:c r="G139" s="13" t="n">
        <x:v>8</x:v>
      </x:c>
      <x:c r="H139" s="12" t="n">
        <x:v>265.6</x:v>
      </x:c>
      <x:c r="I139" s="12" t="n">
        <x:v>248</x:v>
      </x:c>
      <x:c r="J139" s="12" t="n">
        <x:v>17.6</x:v>
      </x:c>
      <x:c r="K139" s="12" t="n">
        <x:v>259.4</x:v>
      </x:c>
      <x:c r="L139" s="12" t="n">
        <x:v>12.8</x:v>
      </x:c>
      <x:c r="M139" s="12" t="n">
        <x:v>-20.2</x:v>
      </x:c>
      <x:c r="N139" s="11" t="str">
        <x:v>High</x:v>
      </x:c>
      <x:c r="O139" s="13" t="n">
        <x:v>9</x:v>
      </x:c>
      <x:c r="P139" s="13" t="n">
        <x:v>17</x:v>
      </x:c>
      <x:c r="Q139" s="11"/>
      <x:c r="R139" s="11" t="str">
        <x:v>Veteran model: 2025 form, prior-year trend and same team pass/run forecast; team pass volume #9, rush volume #17</x:v>
      </x:c>
    </x:row>
    <x:row r="140" ht="19" customHeight="1">
      <x:c r="A140" s="13" t="n">
        <x:v>136</x:v>
      </x:c>
      <x:c r="B140" s="12" t="n">
        <x:v>143.4</x:v>
      </x:c>
      <x:c r="C140" s="12" t="n">
        <x:f>B140-A140</x:f>
        <x:v>7.400000000000006</x:v>
      </x:c>
      <x:c r="D140" s="11" t="str">
        <x:v>Jalen Coker</x:v>
      </x:c>
      <x:c r="E140" s="11" t="str">
        <x:v>WR</x:v>
      </x:c>
      <x:c r="F140" s="11" t="str">
        <x:v>CAR</x:v>
      </x:c>
      <x:c r="G140" s="13" t="n">
        <x:v>5</x:v>
      </x:c>
      <x:c r="H140" s="12" t="n">
        <x:v>128.5</x:v>
      </x:c>
      <x:c r="I140" s="12" t="n">
        <x:v>166</x:v>
      </x:c>
      <x:c r="J140" s="12" t="n">
        <x:v>-37.5</x:v>
      </x:c>
      <x:c r="K140" s="12" t="n">
        <x:v>147.3</x:v>
      </x:c>
      <x:c r="L140" s="12" t="n">
        <x:v>10.2</x:v>
      </x:c>
      <x:c r="M140" s="12" t="n">
        <x:v>-20.7</x:v>
      </x:c>
      <x:c r="N140" s="11" t="str">
        <x:v>Medium</x:v>
      </x:c>
      <x:c r="O140" s="13" t="n">
        <x:v>22</x:v>
      </x:c>
      <x:c r="P140" s="13" t="n">
        <x:v>23</x:v>
      </x:c>
      <x:c r="Q140" s="11"/>
      <x:c r="R140" s="11" t="str">
        <x:v>Veteran model: 2025 form, prior-year trend and same team pass/run forecast; team pass volume #22, rush volume #23</x:v>
      </x:c>
    </x:row>
    <x:row r="141" ht="19" customHeight="1">
      <x:c r="A141" s="13" t="n">
        <x:v>137</x:v>
      </x:c>
      <x:c r="B141" s="12" t="n">
        <x:v>169.4</x:v>
      </x:c>
      <x:c r="C141" s="12" t="n">
        <x:f>B141-A141</x:f>
        <x:v>32.400000000000006</x:v>
      </x:c>
      <x:c r="D141" s="11" t="str">
        <x:v>Tyler Shough</x:v>
      </x:c>
      <x:c r="E141" s="11" t="str">
        <x:v>QB</x:v>
      </x:c>
      <x:c r="F141" s="11" t="str">
        <x:v>NO</x:v>
      </x:c>
      <x:c r="G141" s="13" t="n">
        <x:v>8</x:v>
      </x:c>
      <x:c r="H141" s="12" t="n">
        <x:v>233.5</x:v>
      </x:c>
      <x:c r="I141" s="12" t="n">
        <x:v>271</x:v>
      </x:c>
      <x:c r="J141" s="12" t="n">
        <x:v>-37.5</x:v>
      </x:c>
      <x:c r="K141" s="12" t="n">
        <x:v>252.3</x:v>
      </x:c>
      <x:c r="L141" s="12" t="n">
        <x:v>10.8</x:v>
      </x:c>
      <x:c r="M141" s="12" t="n">
        <x:v>-21.5</x:v>
      </x:c>
      <x:c r="N141" s="11" t="str">
        <x:v>Medium</x:v>
      </x:c>
      <x:c r="O141" s="13" t="n">
        <x:v>8</x:v>
      </x:c>
      <x:c r="P141" s="13" t="n">
        <x:v>22</x:v>
      </x:c>
      <x:c r="Q141" s="11"/>
      <x:c r="R141" s="11" t="str">
        <x:v>Veteran model: 2025 form, prior-year trend and same team pass/run forecast; team pass volume #8, rush volume #22</x:v>
      </x:c>
    </x:row>
    <x:row r="142" ht="19" customHeight="1">
      <x:c r="A142" s="13" t="n">
        <x:v>138</x:v>
      </x:c>
      <x:c r="B142" s="12" t="n">
        <x:v>158.2</x:v>
      </x:c>
      <x:c r="C142" s="12" t="n">
        <x:f>B142-A142</x:f>
        <x:v>20.19999999999999</x:v>
      </x:c>
      <x:c r="D142" s="11" t="str">
        <x:v>Rashid Shaheed</x:v>
      </x:c>
      <x:c r="E142" s="11" t="str">
        <x:v>WR</x:v>
      </x:c>
      <x:c r="F142" s="11" t="str">
        <x:v>SEA</x:v>
      </x:c>
      <x:c r="G142" s="13" t="n">
        <x:v>11</x:v>
      </x:c>
      <x:c r="H142" s="12" t="n">
        <x:v>157</x:v>
      </x:c>
      <x:c r="I142" s="12" t="n">
        <x:v>138</x:v>
      </x:c>
      <x:c r="J142" s="12" t="n">
        <x:v>19</x:v>
      </x:c>
      <x:c r="K142" s="12" t="n">
        <x:v>150.3</x:v>
      </x:c>
      <x:c r="L142" s="12" t="n">
        <x:v>11.7</x:v>
      </x:c>
      <x:c r="M142" s="12" t="n">
        <x:v>-21.7</x:v>
      </x:c>
      <x:c r="N142" s="11" t="str">
        <x:v>High</x:v>
      </x:c>
      <x:c r="O142" s="13" t="n">
        <x:v>23</x:v>
      </x:c>
      <x:c r="P142" s="13" t="n">
        <x:v>21</x:v>
      </x:c>
      <x:c r="Q142" s="11"/>
      <x:c r="R142" s="11" t="str">
        <x:v>Veteran model: 2025 form, prior-year trend and same team pass/run forecast; team pass volume #23, rush volume #21</x:v>
      </x:c>
    </x:row>
    <x:row r="143" ht="19" customHeight="1">
      <x:c r="A143" s="13" t="n">
        <x:v>139</x:v>
      </x:c>
      <x:c r="B143" s="12" t="n">
        <x:v>125.1</x:v>
      </x:c>
      <x:c r="C143" s="12" t="n">
        <x:f>B143-A143</x:f>
        <x:v>-13.900000000000006</x:v>
      </x:c>
      <x:c r="D143" s="11" t="str">
        <x:v>KC Concepcion</x:v>
      </x:c>
      <x:c r="E143" s="11" t="str">
        <x:v>WR</x:v>
      </x:c>
      <x:c r="F143" s="11" t="str">
        <x:v>CLE</x:v>
      </x:c>
      <x:c r="G143" s="13" t="n">
        <x:v>11</x:v>
      </x:c>
      <x:c r="H143" s="12" t="n">
        <x:v>157.8</x:v>
      </x:c>
      <x:c r="I143" s="12" t="n">
        <x:v>156</x:v>
      </x:c>
      <x:c r="J143" s="12" t="n">
        <x:v>1.8</x:v>
      </x:c>
      <x:c r="K143" s="12" t="n">
        <x:v>156.4</x:v>
      </x:c>
      <x:c r="L143" s="12" t="n">
        <x:v>14.6</x:v>
      </x:c>
      <x:c r="M143" s="12" t="n">
        <x:v>-21.8</x:v>
      </x:c>
      <x:c r="N143" s="11" t="str">
        <x:v>Low</x:v>
      </x:c>
      <x:c r="O143" s="13" t="n">
        <x:v>4</x:v>
      </x:c>
      <x:c r="P143" s="13" t="n">
        <x:v>26</x:v>
      </x:c>
      <x:c r="Q143" s="11"/>
      <x:c r="R143" s="11" t="str">
        <x:v>Rookie model: pick 24, age and destination-team environment; team pass volume #4, rush volume #26</x:v>
      </x:c>
    </x:row>
    <x:row r="144" ht="19" customHeight="1">
      <x:c r="A144" s="13" t="n">
        <x:v>140</x:v>
      </x:c>
      <x:c r="B144" s="12" t="n">
        <x:v>130.8</x:v>
      </x:c>
      <x:c r="C144" s="12" t="n">
        <x:f>B144-A144</x:f>
        <x:v>-9.199999999999989</x:v>
      </x:c>
      <x:c r="D144" s="11" t="str">
        <x:v>Matthew Golden</x:v>
      </x:c>
      <x:c r="E144" s="11" t="str">
        <x:v>WR</x:v>
      </x:c>
      <x:c r="F144" s="11" t="str">
        <x:v>GB</x:v>
      </x:c>
      <x:c r="G144" s="13" t="n">
        <x:v>11</x:v>
      </x:c>
      <x:c r="H144" s="12" t="n">
        <x:v>133.3</x:v>
      </x:c>
      <x:c r="I144" s="12" t="n">
        <x:v>170</x:v>
      </x:c>
      <x:c r="J144" s="12" t="n">
        <x:v>-36.7</x:v>
      </x:c>
      <x:c r="K144" s="12" t="n">
        <x:v>151.6</x:v>
      </x:c>
      <x:c r="L144" s="12" t="n">
        <x:v>12.5</x:v>
      </x:c>
      <x:c r="M144" s="12" t="n">
        <x:v>-22.2</x:v>
      </x:c>
      <x:c r="N144" s="11" t="str">
        <x:v>Medium</x:v>
      </x:c>
      <x:c r="O144" s="13" t="n">
        <x:v>30</x:v>
      </x:c>
      <x:c r="P144" s="13" t="n">
        <x:v>4</x:v>
      </x:c>
      <x:c r="Q144" s="11"/>
      <x:c r="R144" s="11" t="str">
        <x:v>Veteran model: 2025 form, prior-year trend and same team pass/run forecast; team pass volume #30, rush volume #4</x:v>
      </x:c>
    </x:row>
    <x:row r="145" ht="19" customHeight="1">
      <x:c r="A145" s="13" t="n">
        <x:v>141</x:v>
      </x:c>
      <x:c r="B145" s="12" t="n">
        <x:v>206.2</x:v>
      </x:c>
      <x:c r="C145" s="12" t="n">
        <x:f>B145-A145</x:f>
        <x:v>65.19999999999999</x:v>
      </x:c>
      <x:c r="D145" s="11" t="str">
        <x:v>Daniel Jones</x:v>
      </x:c>
      <x:c r="E145" s="11" t="str">
        <x:v>QB</x:v>
      </x:c>
      <x:c r="F145" s="11" t="str">
        <x:v>IND</x:v>
      </x:c>
      <x:c r="G145" s="13" t="n">
        <x:v>13</x:v>
      </x:c>
      <x:c r="H145" s="12" t="n">
        <x:v>268.2</x:v>
      </x:c>
      <x:c r="I145" s="12" t="n">
        <x:v>224</x:v>
      </x:c>
      <x:c r="J145" s="12" t="n">
        <x:v>44.2</x:v>
      </x:c>
      <x:c r="K145" s="12" t="n">
        <x:v>252.7</x:v>
      </x:c>
      <x:c r="L145" s="12" t="n">
        <x:v>11.8</x:v>
      </x:c>
      <x:c r="M145" s="12" t="n">
        <x:v>-23.3</x:v>
      </x:c>
      <x:c r="N145" s="11" t="str">
        <x:v>High</x:v>
      </x:c>
      <x:c r="O145" s="13" t="n">
        <x:v>21</x:v>
      </x:c>
      <x:c r="P145" s="13" t="n">
        <x:v>13</x:v>
      </x:c>
      <x:c r="Q145" s="11"/>
      <x:c r="R145" s="11" t="str">
        <x:v>Veteran model: 2025 form, prior-year trend and same team pass/run forecast; team pass volume #21, rush volume #13</x:v>
      </x:c>
    </x:row>
    <x:row r="146" ht="19" customHeight="1">
      <x:c r="A146" s="13" t="n">
        <x:v>142</x:v>
      </x:c>
      <x:c r="B146" s="12" t="n">
        <x:v>171.9</x:v>
      </x:c>
      <x:c r="C146" s="12" t="n">
        <x:f>B146-A146</x:f>
        <x:v>29.900000000000006</x:v>
      </x:c>
      <x:c r="D146" s="11" t="str">
        <x:v>Chig Okonkwo</x:v>
      </x:c>
      <x:c r="E146" s="11" t="str">
        <x:v>TE</x:v>
      </x:c>
      <x:c r="F146" s="11" t="str">
        <x:v>WAS</x:v>
      </x:c>
      <x:c r="G146" s="13" t="n">
        <x:v>7</x:v>
      </x:c>
      <x:c r="H146" s="12" t="n">
        <x:v>118.5</x:v>
      </x:c>
      <x:c r="I146" s="12" t="n">
        <x:v>144</x:v>
      </x:c>
      <x:c r="J146" s="12" t="n">
        <x:v>-25.5</x:v>
      </x:c>
      <x:c r="K146" s="12" t="n">
        <x:v>127.4</x:v>
      </x:c>
      <x:c r="L146" s="12" t="n">
        <x:v>15.5</x:v>
      </x:c>
      <x:c r="M146" s="12" t="n">
        <x:v>-23.5</x:v>
      </x:c>
      <x:c r="N146" s="11" t="str">
        <x:v>High</x:v>
      </x:c>
      <x:c r="O146" s="13" t="n">
        <x:v>29</x:v>
      </x:c>
      <x:c r="P146" s="13" t="n">
        <x:v>8</x:v>
      </x:c>
      <x:c r="Q146" s="11"/>
      <x:c r="R146" s="11" t="str">
        <x:v>Veteran model: 2025 form, prior-year trend and new team pass/run forecast; team pass volume #29, rush volume #8</x:v>
      </x:c>
    </x:row>
    <x:row r="147" ht="19" customHeight="1">
      <x:c r="A147" s="13" t="n">
        <x:v>143</x:v>
      </x:c>
      <x:c r="B147" s="12" t="n">
        <x:v>190.1</x:v>
      </x:c>
      <x:c r="C147" s="12" t="n">
        <x:f>B147-A147</x:f>
        <x:v>47.099999999999994</x:v>
      </x:c>
      <x:c r="D147" s="11" t="str">
        <x:v>Jerry Jeudy</x:v>
      </x:c>
      <x:c r="E147" s="11" t="str">
        <x:v>WR</x:v>
      </x:c>
      <x:c r="F147" s="11" t="str">
        <x:v>CLE</x:v>
      </x:c>
      <x:c r="G147" s="13" t="n">
        <x:v>11</x:v>
      </x:c>
      <x:c r="H147" s="12" t="n">
        <x:v>160</x:v>
      </x:c>
      <x:c r="I147" s="12" t="n">
        <x:v>120</x:v>
      </x:c>
      <x:c r="J147" s="12" t="n">
        <x:v>40</x:v>
      </x:c>
      <x:c r="K147" s="12" t="n">
        <x:v>146</x:v>
      </x:c>
      <x:c r="L147" s="12" t="n">
        <x:v>11.3</x:v>
      </x:c>
      <x:c r="M147" s="12" t="n">
        <x:v>-23.8</x:v>
      </x:c>
      <x:c r="N147" s="11" t="str">
        <x:v>High</x:v>
      </x:c>
      <x:c r="O147" s="13" t="n">
        <x:v>4</x:v>
      </x:c>
      <x:c r="P147" s="13" t="n">
        <x:v>26</x:v>
      </x:c>
      <x:c r="Q147" s="11"/>
      <x:c r="R147" s="11" t="str">
        <x:v>Veteran model: 2025 form, prior-year trend and same team pass/run forecast; team pass volume #4, rush volume #26</x:v>
      </x:c>
    </x:row>
    <x:row r="148" ht="19" customHeight="1">
      <x:c r="A148" s="13" t="n">
        <x:v>144</x:v>
      </x:c>
      <x:c r="B148" s="12" t="n">
        <x:v>167</x:v>
      </x:c>
      <x:c r="C148" s="12" t="n">
        <x:f>B148-A148</x:f>
        <x:v>23</x:v>
      </x:c>
      <x:c r="D148" s="11" t="str">
        <x:v>Tyjae Spears</x:v>
      </x:c>
      <x:c r="E148" s="11" t="str">
        <x:v>RB</x:v>
      </x:c>
      <x:c r="F148" s="11" t="str">
        <x:v>TEN</x:v>
      </x:c>
      <x:c r="G148" s="13" t="n">
        <x:v>9</x:v>
      </x:c>
      <x:c r="H148" s="12" t="n">
        <x:v>150.5</x:v>
      </x:c>
      <x:c r="I148" s="12" t="n">
        <x:v>115</x:v>
      </x:c>
      <x:c r="J148" s="12" t="n">
        <x:v>35.5</x:v>
      </x:c>
      <x:c r="K148" s="12" t="n">
        <x:v>138.1</x:v>
      </x:c>
      <x:c r="L148" s="12" t="n">
        <x:v>11.1</x:v>
      </x:c>
      <x:c r="M148" s="12" t="n">
        <x:v>-25.8</x:v>
      </x:c>
      <x:c r="N148" s="11" t="str">
        <x:v>High</x:v>
      </x:c>
      <x:c r="O148" s="13" t="n">
        <x:v>18</x:v>
      </x:c>
      <x:c r="P148" s="13" t="n">
        <x:v>30</x:v>
      </x:c>
      <x:c r="Q148" s="11"/>
      <x:c r="R148" s="11" t="str">
        <x:v>Veteran model: 2025 form, prior-year trend and same team pass/run forecast; team pass volume #18, rush volume #30</x:v>
      </x:c>
    </x:row>
    <x:row r="149" ht="19" customHeight="1">
      <x:c r="A149" s="13" t="n">
        <x:v>145</x:v>
      </x:c>
      <x:c r="B149" s="12" t="n">
        <x:v>58.5</x:v>
      </x:c>
      <x:c r="C149" s="12" t="n">
        <x:f>B149-A149</x:f>
        <x:v>-86.5</x:v>
      </x:c>
      <x:c r="D149" s="11" t="str">
        <x:v>DJ Moore</x:v>
      </x:c>
      <x:c r="E149" s="11" t="str">
        <x:v>WR</x:v>
      </x:c>
      <x:c r="F149" s="11" t="str">
        <x:v>BUF</x:v>
      </x:c>
      <x:c r="G149" s="13" t="n">
        <x:v>7</x:v>
      </x:c>
      <x:c r="H149" s="12" t="n">
        <x:v>137.5</x:v>
      </x:c>
      <x:c r="I149" s="12" t="n">
        <x:v>179</x:v>
      </x:c>
      <x:c r="J149" s="12" t="n">
        <x:v>-41.5</x:v>
      </x:c>
      <x:c r="K149" s="12" t="n">
        <x:v>152.1</x:v>
      </x:c>
      <x:c r="L149" s="12" t="n">
        <x:v>15</x:v>
      </x:c>
      <x:c r="M149" s="12" t="n">
        <x:v>-26.2</x:v>
      </x:c>
      <x:c r="N149" s="11" t="str">
        <x:v>High</x:v>
      </x:c>
      <x:c r="O149" s="13" t="n">
        <x:v>28</x:v>
      </x:c>
      <x:c r="P149" s="13" t="n">
        <x:v>3</x:v>
      </x:c>
      <x:c r="Q149" s="11"/>
      <x:c r="R149" s="11" t="str">
        <x:v>Veteran model: 2025 form, prior-year trend and new team pass/run forecast; team pass volume #28, rush volume #3</x:v>
      </x:c>
    </x:row>
    <x:row r="150" ht="19" customHeight="1">
      <x:c r="A150" s="13" t="n">
        <x:v>146</x:v>
      </x:c>
      <x:c r="B150" s="12" t="n">
        <x:v>232.2</x:v>
      </x:c>
      <x:c r="C150" s="12" t="n">
        <x:f>B150-A150</x:f>
        <x:v>86.19999999999999</x:v>
      </x:c>
      <x:c r="D150" s="11" t="str">
        <x:v>Theo Johnson</x:v>
      </x:c>
      <x:c r="E150" s="11" t="str">
        <x:v>TE</x:v>
      </x:c>
      <x:c r="F150" s="11" t="str">
        <x:v>NYG</x:v>
      </x:c>
      <x:c r="G150" s="13" t="n">
        <x:v>8</x:v>
      </x:c>
      <x:c r="H150" s="12" t="n">
        <x:v>140.4</x:v>
      </x:c>
      <x:c r="I150" s="12" t="n">
        <x:v>77</x:v>
      </x:c>
      <x:c r="J150" s="12" t="n">
        <x:v>63.4</x:v>
      </x:c>
      <x:c r="K150" s="12" t="n">
        <x:v>118.2</x:v>
      </x:c>
      <x:c r="L150" s="12" t="n">
        <x:v>12.9</x:v>
      </x:c>
      <x:c r="M150" s="12" t="n">
        <x:v>-26.6</x:v>
      </x:c>
      <x:c r="N150" s="11" t="str">
        <x:v>High</x:v>
      </x:c>
      <x:c r="O150" s="13" t="n">
        <x:v>19</x:v>
      </x:c>
      <x:c r="P150" s="13" t="n">
        <x:v>10</x:v>
      </x:c>
      <x:c r="Q150" s="11"/>
      <x:c r="R150" s="11" t="str">
        <x:v>Veteran model: 2025 form, prior-year trend and same team pass/run forecast; team pass volume #19, rush volume #10</x:v>
      </x:c>
    </x:row>
    <x:row r="151" ht="19" customHeight="1">
      <x:c r="A151" s="13" t="n">
        <x:v>147</x:v>
      </x:c>
      <x:c r="B151" s="12" t="n">
        <x:v>113.7</x:v>
      </x:c>
      <x:c r="C151" s="12" t="n">
        <x:f>B151-A151</x:f>
        <x:v>-33.3</x:v>
      </x:c>
      <x:c r="D151" s="11" t="str">
        <x:v>Isaiah Likely</x:v>
      </x:c>
      <x:c r="E151" s="11" t="str">
        <x:v>TE</x:v>
      </x:c>
      <x:c r="F151" s="11" t="str">
        <x:v>NYG</x:v>
      </x:c>
      <x:c r="G151" s="13" t="n">
        <x:v>8</x:v>
      </x:c>
      <x:c r="H151" s="12" t="n">
        <x:v>95.4</x:v>
      </x:c>
      <x:c r="I151" s="12" t="n">
        <x:v>157</x:v>
      </x:c>
      <x:c r="J151" s="12" t="n">
        <x:v>-61.6</x:v>
      </x:c>
      <x:c r="K151" s="12" t="n">
        <x:v>117</x:v>
      </x:c>
      <x:c r="L151" s="12" t="n">
        <x:v>12.6</x:v>
      </x:c>
      <x:c r="M151" s="12" t="n">
        <x:v>-26.8</x:v>
      </x:c>
      <x:c r="N151" s="11" t="str">
        <x:v>High</x:v>
      </x:c>
      <x:c r="O151" s="13" t="n">
        <x:v>19</x:v>
      </x:c>
      <x:c r="P151" s="13" t="n">
        <x:v>10</x:v>
      </x:c>
      <x:c r="Q151" s="11"/>
      <x:c r="R151" s="11" t="str">
        <x:v>Veteran model: 2025 form, prior-year trend and new team pass/run forecast; team pass volume #19, rush volume #10</x:v>
      </x:c>
    </x:row>
    <x:row r="152" ht="19" customHeight="1">
      <x:c r="A152" s="13" t="n">
        <x:v>148</x:v>
      </x:c>
      <x:c r="B152" s="12" t="n">
        <x:v>195.8</x:v>
      </x:c>
      <x:c r="C152" s="12" t="n">
        <x:f>B152-A152</x:f>
        <x:v>47.80000000000001</x:v>
      </x:c>
      <x:c r="D152" s="11" t="str">
        <x:v>Jalen McMillan</x:v>
      </x:c>
      <x:c r="E152" s="11" t="str">
        <x:v>WR</x:v>
      </x:c>
      <x:c r="F152" s="11" t="str">
        <x:v>TB</x:v>
      </x:c>
      <x:c r="G152" s="13" t="n">
        <x:v>10</x:v>
      </x:c>
      <x:c r="H152" s="12" t="n">
        <x:v>134.5</x:v>
      </x:c>
      <x:c r="I152" s="12" t="n">
        <x:v>127</x:v>
      </x:c>
      <x:c r="J152" s="12" t="n">
        <x:v>7.5</x:v>
      </x:c>
      <x:c r="K152" s="12" t="n">
        <x:v>128.9</x:v>
      </x:c>
      <x:c r="L152" s="12" t="n">
        <x:v>9.1</x:v>
      </x:c>
      <x:c r="M152" s="12" t="n">
        <x:v>-28.3</x:v>
      </x:c>
      <x:c r="N152" s="11" t="str">
        <x:v>Low</x:v>
      </x:c>
      <x:c r="O152" s="13" t="n">
        <x:v>12</x:v>
      </x:c>
      <x:c r="P152" s="13" t="n">
        <x:v>11</x:v>
      </x:c>
      <x:c r="Q152" s="11" t="str">
        <x:v>Ques</x:v>
      </x:c>
      <x:c r="R152" s="11" t="str">
        <x:v>Veteran model: 2025 form, prior-year trend and same team pass/run forecast; team pass volume #12, rush volume #11</x:v>
      </x:c>
    </x:row>
    <x:row r="153" ht="19" customHeight="1">
      <x:c r="A153" s="13" t="n">
        <x:v>149</x:v>
      </x:c>
      <x:c r="B153" s="12" t="n">
        <x:v>141.7</x:v>
      </x:c>
      <x:c r="C153" s="12" t="n">
        <x:f>B153-A153</x:f>
        <x:v>-7.300000000000011</x:v>
      </x:c>
      <x:c r="D153" s="11" t="str">
        <x:v>Zach Charbonnet</x:v>
      </x:c>
      <x:c r="E153" s="11" t="str">
        <x:v>RB</x:v>
      </x:c>
      <x:c r="F153" s="11" t="str">
        <x:v>SEA</x:v>
      </x:c>
      <x:c r="G153" s="13" t="n">
        <x:v>11</x:v>
      </x:c>
      <x:c r="H153" s="12" t="n">
        <x:v>177.5</x:v>
      </x:c>
      <x:c r="I153" s="12" t="n">
        <x:v>67</x:v>
      </x:c>
      <x:c r="J153" s="12" t="n">
        <x:v>110.5</x:v>
      </x:c>
      <x:c r="K153" s="12" t="n">
        <x:v>138.8</x:v>
      </x:c>
      <x:c r="L153" s="12" t="n">
        <x:v>12.5</x:v>
      </x:c>
      <x:c r="M153" s="12" t="n">
        <x:v>-28.5</x:v>
      </x:c>
      <x:c r="N153" s="11" t="str">
        <x:v>High</x:v>
      </x:c>
      <x:c r="O153" s="13" t="n">
        <x:v>23</x:v>
      </x:c>
      <x:c r="P153" s="13" t="n">
        <x:v>21</x:v>
      </x:c>
      <x:c r="Q153" s="11" t="str">
        <x:v>PUP</x:v>
      </x:c>
      <x:c r="R153" s="11" t="str">
        <x:v>Veteran model: 2025 form, prior-year trend and same team pass/run forecast; team pass volume #23, rush volume #21</x:v>
      </x:c>
    </x:row>
    <x:row r="154" ht="19" customHeight="1">
      <x:c r="A154" s="13" t="n">
        <x:v>150</x:v>
      </x:c>
      <x:c r="B154" s="12" t="n">
        <x:v>230.4</x:v>
      </x:c>
      <x:c r="C154" s="12" t="n">
        <x:f>B154-A154</x:f>
        <x:v>80.4</x:v>
      </x:c>
      <x:c r="D154" s="11" t="str">
        <x:v>Greg Dulcich</x:v>
      </x:c>
      <x:c r="E154" s="11" t="str">
        <x:v>TE</x:v>
      </x:c>
      <x:c r="F154" s="11" t="str">
        <x:v>MIA</x:v>
      </x:c>
      <x:c r="G154" s="13" t="n">
        <x:v>6</x:v>
      </x:c>
      <x:c r="H154" s="12" t="n">
        <x:v>102.8</x:v>
      </x:c>
      <x:c r="I154" s="12" t="n">
        <x:v>111</x:v>
      </x:c>
      <x:c r="J154" s="12" t="n">
        <x:v>-8.2</x:v>
      </x:c>
      <x:c r="K154" s="12" t="n">
        <x:v>106.9</x:v>
      </x:c>
      <x:c r="L154" s="12" t="n">
        <x:v>10.5</x:v>
      </x:c>
      <x:c r="M154" s="12" t="n">
        <x:v>-28.6</x:v>
      </x:c>
      <x:c r="N154" s="11" t="str">
        <x:v>Medium</x:v>
      </x:c>
      <x:c r="O154" s="13" t="n">
        <x:v>25</x:v>
      </x:c>
      <x:c r="P154" s="13" t="n">
        <x:v>24</x:v>
      </x:c>
      <x:c r="Q154" s="11"/>
      <x:c r="R154" s="11" t="str">
        <x:v>Veteran model: 2025 form, prior-year trend and same team pass/run forecast; team pass volume #25, rush volume #24</x:v>
      </x:c>
    </x:row>
    <x:row r="155" ht="19" customHeight="1">
      <x:c r="A155" s="13" t="n">
        <x:v>151</x:v>
      </x:c>
      <x:c r="B155" s="12" t="n">
        <x:v>118.7</x:v>
      </x:c>
      <x:c r="C155" s="12" t="n">
        <x:f>B155-A155</x:f>
        <x:v>-32.3</x:v>
      </x:c>
      <x:c r="D155" s="11" t="str">
        <x:v>Jordan Mason</x:v>
      </x:c>
      <x:c r="E155" s="11" t="str">
        <x:v>RB</x:v>
      </x:c>
      <x:c r="F155" s="11" t="str">
        <x:v>MIN</x:v>
      </x:c>
      <x:c r="G155" s="13" t="n">
        <x:v>6</x:v>
      </x:c>
      <x:c r="H155" s="12" t="n">
        <x:v>120.5</x:v>
      </x:c>
      <x:c r="I155" s="12" t="n">
        <x:v>154</x:v>
      </x:c>
      <x:c r="J155" s="12" t="n">
        <x:v>-33.5</x:v>
      </x:c>
      <x:c r="K155" s="12" t="n">
        <x:v>132.2</x:v>
      </x:c>
      <x:c r="L155" s="12" t="n">
        <x:v>11</x:v>
      </x:c>
      <x:c r="M155" s="12" t="n">
        <x:v>-29.4</x:v>
      </x:c>
      <x:c r="N155" s="11" t="str">
        <x:v>High</x:v>
      </x:c>
      <x:c r="O155" s="13" t="n">
        <x:v>26</x:v>
      </x:c>
      <x:c r="P155" s="13" t="n">
        <x:v>27</x:v>
      </x:c>
      <x:c r="Q155" s="11"/>
      <x:c r="R155" s="11" t="str">
        <x:v>Veteran model: 2025 form, prior-year trend and same team pass/run forecast; team pass volume #26, rush volume #27</x:v>
      </x:c>
    </x:row>
    <x:row r="156" ht="19" customHeight="1">
      <x:c r="A156" s="13" t="n">
        <x:v>152</x:v>
      </x:c>
      <x:c r="B156" s="12" t="n">
        <x:v>111.9</x:v>
      </x:c>
      <x:c r="C156" s="12" t="n">
        <x:f>B156-A156</x:f>
        <x:v>-40.099999999999994</x:v>
      </x:c>
      <x:c r="D156" s="11" t="str">
        <x:v>Jacory Croskey-Merritt</x:v>
      </x:c>
      <x:c r="E156" s="11" t="str">
        <x:v>RB</x:v>
      </x:c>
      <x:c r="F156" s="11" t="str">
        <x:v>WAS</x:v>
      </x:c>
      <x:c r="G156" s="13" t="n">
        <x:v>7</x:v>
      </x:c>
      <x:c r="H156" s="12" t="n">
        <x:v>142.5</x:v>
      </x:c>
      <x:c r="I156" s="12" t="n">
        <x:v>128</x:v>
      </x:c>
      <x:c r="J156" s="12" t="n">
        <x:v>14.5</x:v>
      </x:c>
      <x:c r="K156" s="12" t="n">
        <x:v>135.2</x:v>
      </x:c>
      <x:c r="L156" s="12" t="n">
        <x:v>12.2</x:v>
      </x:c>
      <x:c r="M156" s="12" t="n">
        <x:v>-30.4</x:v>
      </x:c>
      <x:c r="N156" s="11" t="str">
        <x:v>Medium</x:v>
      </x:c>
      <x:c r="O156" s="13" t="n">
        <x:v>29</x:v>
      </x:c>
      <x:c r="P156" s="13" t="n">
        <x:v>8</x:v>
      </x:c>
      <x:c r="Q156" s="11"/>
      <x:c r="R156" s="11" t="str">
        <x:v>Veteran model: 2025 form, prior-year trend and same team pass/run forecast; team pass volume #29, rush volume #8</x:v>
      </x:c>
    </x:row>
    <x:row r="157" ht="19" customHeight="1">
      <x:c r="A157" s="13" t="n">
        <x:v>153</x:v>
      </x:c>
      <x:c r="B157" s="12" t="n">
        <x:v>155.2</x:v>
      </x:c>
      <x:c r="C157" s="12" t="n">
        <x:f>B157-A157</x:f>
        <x:v>2.1999999999999886</x:v>
      </x:c>
      <x:c r="D157" s="11" t="str">
        <x:v>De'Zhaun Stribling</x:v>
      </x:c>
      <x:c r="E157" s="11" t="str">
        <x:v>WR</x:v>
      </x:c>
      <x:c r="F157" s="11" t="str">
        <x:v>SF</x:v>
      </x:c>
      <x:c r="G157" s="13" t="n">
        <x:v>8</x:v>
      </x:c>
      <x:c r="H157" s="12" t="n">
        <x:v>138.7</x:v>
      </x:c>
      <x:c r="I157" s="12" t="n">
        <x:v>128</x:v>
      </x:c>
      <x:c r="J157" s="12" t="n">
        <x:v>10.7</x:v>
      </x:c>
      <x:c r="K157" s="12" t="n">
        <x:v>130.7</x:v>
      </x:c>
      <x:c r="L157" s="12" t="n">
        <x:v>10.1</x:v>
      </x:c>
      <x:c r="M157" s="12" t="n">
        <x:v>-30.4</x:v>
      </x:c>
      <x:c r="N157" s="11" t="str">
        <x:v>Low</x:v>
      </x:c>
      <x:c r="O157" s="13" t="n">
        <x:v>16</x:v>
      </x:c>
      <x:c r="P157" s="13" t="n">
        <x:v>9</x:v>
      </x:c>
      <x:c r="Q157" s="11"/>
      <x:c r="R157" s="11" t="str">
        <x:v>Rookie model: pick 33, age and destination-team environment; team pass volume #16, rush volume #9</x:v>
      </x:c>
    </x:row>
    <x:row r="158" ht="19" customHeight="1">
      <x:c r="A158" s="13" t="n">
        <x:v>154</x:v>
      </x:c>
      <x:c r="B158" s="12" t="n">
        <x:v>128.2</x:v>
      </x:c>
      <x:c r="C158" s="12" t="n">
        <x:f>B158-A158</x:f>
        <x:v>-25.80000000000001</x:v>
      </x:c>
      <x:c r="D158" s="11" t="str">
        <x:v>Rachaad White</x:v>
      </x:c>
      <x:c r="E158" s="11" t="str">
        <x:v>RB</x:v>
      </x:c>
      <x:c r="F158" s="11" t="str">
        <x:v>WAS</x:v>
      </x:c>
      <x:c r="G158" s="13" t="n">
        <x:v>7</x:v>
      </x:c>
      <x:c r="H158" s="12" t="n">
        <x:v>143.6</x:v>
      </x:c>
      <x:c r="I158" s="12" t="n">
        <x:v>128</x:v>
      </x:c>
      <x:c r="J158" s="12" t="n">
        <x:v>15.6</x:v>
      </x:c>
      <x:c r="K158" s="12" t="n">
        <x:v>138.1</x:v>
      </x:c>
      <x:c r="L158" s="12" t="n">
        <x:v>13.2</x:v>
      </x:c>
      <x:c r="M158" s="12" t="n">
        <x:v>-30.7</x:v>
      </x:c>
      <x:c r="N158" s="11" t="str">
        <x:v>High</x:v>
      </x:c>
      <x:c r="O158" s="13" t="n">
        <x:v>29</x:v>
      </x:c>
      <x:c r="P158" s="13" t="n">
        <x:v>8</x:v>
      </x:c>
      <x:c r="Q158" s="11" t="str">
        <x:v>Ques</x:v>
      </x:c>
      <x:c r="R158" s="11" t="str">
        <x:v>Veteran model: 2025 form, prior-year trend and new team pass/run forecast; team pass volume #29, rush volume #8</x:v>
      </x:c>
    </x:row>
    <x:row r="159" ht="19" customHeight="1">
      <x:c r="A159" s="13" t="n">
        <x:v>155</x:v>
      </x:c>
      <x:c r="B159" s="12" t="n">
        <x:v>229.7</x:v>
      </x:c>
      <x:c r="C159" s="12" t="n">
        <x:f>B159-A159</x:f>
        <x:v>74.69999999999999</x:v>
      </x:c>
      <x:c r="D159" s="11" t="str">
        <x:v>Bryce Young</x:v>
      </x:c>
      <x:c r="E159" s="11" t="str">
        <x:v>QB</x:v>
      </x:c>
      <x:c r="F159" s="11" t="str">
        <x:v>CAR</x:v>
      </x:c>
      <x:c r="G159" s="13" t="n">
        <x:v>5</x:v>
      </x:c>
      <x:c r="H159" s="12" t="n">
        <x:v>246.9</x:v>
      </x:c>
      <x:c r="I159" s="12" t="n">
        <x:v>236</x:v>
      </x:c>
      <x:c r="J159" s="12" t="n">
        <x:v>10.9</x:v>
      </x:c>
      <x:c r="K159" s="12" t="n">
        <x:v>243.1</x:v>
      </x:c>
      <x:c r="L159" s="12" t="n">
        <x:v>12.3</x:v>
      </x:c>
      <x:c r="M159" s="12" t="n">
        <x:v>-31.2</x:v>
      </x:c>
      <x:c r="N159" s="11" t="str">
        <x:v>High</x:v>
      </x:c>
      <x:c r="O159" s="13" t="n">
        <x:v>22</x:v>
      </x:c>
      <x:c r="P159" s="13" t="n">
        <x:v>23</x:v>
      </x:c>
      <x:c r="Q159" s="11"/>
      <x:c r="R159" s="11" t="str">
        <x:v>Veteran model: 2025 form, prior-year trend and same team pass/run forecast; team pass volume #22, rush volume #23</x:v>
      </x:c>
    </x:row>
    <x:row r="160" ht="19" customHeight="1">
      <x:c r="A160" s="13" t="n">
        <x:v>156</x:v>
      </x:c>
      <x:c r="B160" s="12" t="n">
        <x:v>234.3</x:v>
      </x:c>
      <x:c r="C160" s="12" t="n">
        <x:f>B160-A160</x:f>
        <x:v>78.30000000000001</x:v>
      </x:c>
      <x:c r="D160" s="11" t="str">
        <x:v>Gunnar Helm</x:v>
      </x:c>
      <x:c r="E160" s="11" t="str">
        <x:v>TE</x:v>
      </x:c>
      <x:c r="F160" s="11" t="str">
        <x:v>TEN</x:v>
      </x:c>
      <x:c r="G160" s="13" t="n">
        <x:v>9</x:v>
      </x:c>
      <x:c r="H160" s="12" t="n">
        <x:v>98.4</x:v>
      </x:c>
      <x:c r="I160" s="12" t="n">
        <x:v>130</x:v>
      </x:c>
      <x:c r="J160" s="12" t="n">
        <x:v>-31.6</x:v>
      </x:c>
      <x:c r="K160" s="12" t="n">
        <x:v>114.2</x:v>
      </x:c>
      <x:c r="L160" s="12" t="n">
        <x:v>13.6</x:v>
      </x:c>
      <x:c r="M160" s="12" t="n">
        <x:v>-31.2</x:v>
      </x:c>
      <x:c r="N160" s="11" t="str">
        <x:v>Medium</x:v>
      </x:c>
      <x:c r="O160" s="13" t="n">
        <x:v>18</x:v>
      </x:c>
      <x:c r="P160" s="13" t="n">
        <x:v>30</x:v>
      </x:c>
      <x:c r="Q160" s="11"/>
      <x:c r="R160" s="11" t="str">
        <x:v>Veteran model: 2025 form, prior-year trend and same team pass/run forecast; team pass volume #18, rush volume #30</x:v>
      </x:c>
    </x:row>
    <x:row r="161" ht="19" customHeight="1">
      <x:c r="A161" s="13" t="n">
        <x:v>157</x:v>
      </x:c>
      <x:c r="B161" s="12" t="n">
        <x:v>103.5</x:v>
      </x:c>
      <x:c r="C161" s="12" t="n">
        <x:f>B161-A161</x:f>
        <x:v>-53.5</x:v>
      </x:c>
      <x:c r="D161" s="11" t="str">
        <x:v>Blake Corum</x:v>
      </x:c>
      <x:c r="E161" s="11" t="str">
        <x:v>RB</x:v>
      </x:c>
      <x:c r="F161" s="11" t="str">
        <x:v>LAR</x:v>
      </x:c>
      <x:c r="G161" s="13" t="n">
        <x:v>11</x:v>
      </x:c>
      <x:c r="H161" s="12" t="n">
        <x:v>130.9</x:v>
      </x:c>
      <x:c r="I161" s="12" t="n">
        <x:v>135</x:v>
      </x:c>
      <x:c r="J161" s="12" t="n">
        <x:v>-4.1</x:v>
      </x:c>
      <x:c r="K161" s="12" t="n">
        <x:v>132.3</x:v>
      </x:c>
      <x:c r="L161" s="12" t="n">
        <x:v>12.4</x:v>
      </x:c>
      <x:c r="M161" s="12" t="n">
        <x:v>-33</x:v>
      </x:c>
      <x:c r="N161" s="11" t="str">
        <x:v>High</x:v>
      </x:c>
      <x:c r="O161" s="13" t="n">
        <x:v>7</x:v>
      </x:c>
      <x:c r="P161" s="13" t="n">
        <x:v>14</x:v>
      </x:c>
      <x:c r="Q161" s="11"/>
      <x:c r="R161" s="11" t="str">
        <x:v>Veteran model: 2025 form, prior-year trend and same team pass/run forecast; team pass volume #7, rush volume #14</x:v>
      </x:c>
    </x:row>
    <x:row r="162" ht="19" customHeight="1">
      <x:c r="A162" s="13" t="n">
        <x:v>158</x:v>
      </x:c>
      <x:c r="B162" s="12" t="n">
        <x:v>163.2</x:v>
      </x:c>
      <x:c r="C162" s="12" t="n">
        <x:f>B162-A162</x:f>
        <x:v>5.199999999999989</x:v>
      </x:c>
      <x:c r="D162" s="11" t="str">
        <x:v>Denzel Boston</x:v>
      </x:c>
      <x:c r="E162" s="11" t="str">
        <x:v>WR</x:v>
      </x:c>
      <x:c r="F162" s="11" t="str">
        <x:v>CLE</x:v>
      </x:c>
      <x:c r="G162" s="13" t="n">
        <x:v>11</x:v>
      </x:c>
      <x:c r="H162" s="12" t="n">
        <x:v>146.6</x:v>
      </x:c>
      <x:c r="I162" s="12" t="n">
        <x:v>135</x:v>
      </x:c>
      <x:c r="J162" s="12" t="n">
        <x:v>11.6</x:v>
      </x:c>
      <x:c r="K162" s="12" t="n">
        <x:v>137.9</x:v>
      </x:c>
      <x:c r="L162" s="12" t="n">
        <x:v>12.8</x:v>
      </x:c>
      <x:c r="M162" s="12" t="n">
        <x:v>-33.1</x:v>
      </x:c>
      <x:c r="N162" s="11" t="str">
        <x:v>Low</x:v>
      </x:c>
      <x:c r="O162" s="13" t="n">
        <x:v>4</x:v>
      </x:c>
      <x:c r="P162" s="13" t="n">
        <x:v>26</x:v>
      </x:c>
      <x:c r="Q162" s="11"/>
      <x:c r="R162" s="11" t="str">
        <x:v>Rookie model: pick 39, age and destination-team environment; team pass volume #4, rush volume #26</x:v>
      </x:c>
    </x:row>
    <x:row r="163" ht="19" customHeight="1">
      <x:c r="A163" s="13" t="n">
        <x:v>159</x:v>
      </x:c>
      <x:c r="B163" s="12" t="n">
        <x:v>194.1</x:v>
      </x:c>
      <x:c r="C163" s="12" t="n">
        <x:f>B163-A163</x:f>
        <x:v>35.099999999999994</x:v>
      </x:c>
      <x:c r="D163" s="11" t="str">
        <x:v>Jauan Jennings</x:v>
      </x:c>
      <x:c r="E163" s="11" t="str">
        <x:v>WR</x:v>
      </x:c>
      <x:c r="F163" s="11" t="str">
        <x:v>MIN</x:v>
      </x:c>
      <x:c r="G163" s="13" t="n">
        <x:v>6</x:v>
      </x:c>
      <x:c r="H163" s="12" t="n">
        <x:v>152.7</x:v>
      </x:c>
      <x:c r="I163" s="12" t="n">
        <x:v>106</x:v>
      </x:c>
      <x:c r="J163" s="12" t="n">
        <x:v>46.7</x:v>
      </x:c>
      <x:c r="K163" s="12" t="n">
        <x:v>136.4</x:v>
      </x:c>
      <x:c r="L163" s="12" t="n">
        <x:v>12.6</x:v>
      </x:c>
      <x:c r="M163" s="12" t="n">
        <x:v>-33.6</x:v>
      </x:c>
      <x:c r="N163" s="11" t="str">
        <x:v>High</x:v>
      </x:c>
      <x:c r="O163" s="13" t="n">
        <x:v>26</x:v>
      </x:c>
      <x:c r="P163" s="13" t="n">
        <x:v>27</x:v>
      </x:c>
      <x:c r="Q163" s="11"/>
      <x:c r="R163" s="11" t="str">
        <x:v>Veteran model: 2025 form, prior-year trend and new team pass/run forecast; team pass volume #26, rush volume #27</x:v>
      </x:c>
    </x:row>
    <x:row r="164" ht="19" customHeight="1">
      <x:c r="A164" s="13" t="n">
        <x:v>160</x:v>
      </x:c>
      <x:c r="B164" s="12" t="n">
        <x:v>219.1</x:v>
      </x:c>
      <x:c r="C164" s="12" t="n">
        <x:f>B164-A164</x:f>
        <x:v>59.099999999999994</x:v>
      </x:c>
      <x:c r="D164" s="11" t="str">
        <x:v>Keenan Allen</x:v>
      </x:c>
      <x:c r="E164" s="11" t="str">
        <x:v>WR</x:v>
      </x:c>
      <x:c r="F164" s="11" t="str">
        <x:v>IND</x:v>
      </x:c>
      <x:c r="G164" s="13" t="n">
        <x:v>13</x:v>
      </x:c>
      <x:c r="H164" s="12" t="n">
        <x:v>144.2</x:v>
      </x:c>
      <x:c r="I164" s="12" t="n">
        <x:v>107</x:v>
      </x:c>
      <x:c r="J164" s="12" t="n">
        <x:v>37.2</x:v>
      </x:c>
      <x:c r="K164" s="12" t="n">
        <x:v>131.2</x:v>
      </x:c>
      <x:c r="L164" s="12" t="n">
        <x:v>11.9</x:v>
      </x:c>
      <x:c r="M164" s="12" t="n">
        <x:v>-35.4</x:v>
      </x:c>
      <x:c r="N164" s="11" t="str">
        <x:v>High</x:v>
      </x:c>
      <x:c r="O164" s="13" t="n">
        <x:v>21</x:v>
      </x:c>
      <x:c r="P164" s="13" t="n">
        <x:v>13</x:v>
      </x:c>
      <x:c r="Q164" s="11"/>
      <x:c r="R164" s="11" t="str">
        <x:v>Veteran model: 2025 form, prior-year trend and new team pass/run forecast; team pass volume #21, rush volume #13</x:v>
      </x:c>
    </x:row>
    <x:row r="165" ht="19" customHeight="1">
      <x:c r="A165" s="13" t="n">
        <x:v>161</x:v>
      </x:c>
      <x:c r="B165" s="12" t="n">
        <x:v>225.1</x:v>
      </x:c>
      <x:c r="C165" s="12" t="n">
        <x:f>B165-A165</x:f>
        <x:v>64.1</x:v>
      </x:c>
      <x:c r="D165" s="11" t="str">
        <x:v>Cooper Kupp</x:v>
      </x:c>
      <x:c r="E165" s="11" t="str">
        <x:v>WR</x:v>
      </x:c>
      <x:c r="F165" s="11" t="str">
        <x:v>SEA</x:v>
      </x:c>
      <x:c r="G165" s="13" t="n">
        <x:v>11</x:v>
      </x:c>
      <x:c r="H165" s="12" t="n">
        <x:v>140.5</x:v>
      </x:c>
      <x:c r="I165" s="12" t="n">
        <x:v>86</x:v>
      </x:c>
      <x:c r="J165" s="12" t="n">
        <x:v>54.5</x:v>
      </x:c>
      <x:c r="K165" s="12" t="n">
        <x:v>121.4</x:v>
      </x:c>
      <x:c r="L165" s="12" t="n">
        <x:v>10</x:v>
      </x:c>
      <x:c r="M165" s="12" t="n">
        <x:v>-35.5</x:v>
      </x:c>
      <x:c r="N165" s="11" t="str">
        <x:v>High</x:v>
      </x:c>
      <x:c r="O165" s="13" t="n">
        <x:v>23</x:v>
      </x:c>
      <x:c r="P165" s="13" t="n">
        <x:v>21</x:v>
      </x:c>
      <x:c r="Q165" s="11"/>
      <x:c r="R165" s="11" t="str">
        <x:v>Veteran model: 2025 form, prior-year trend and same team pass/run forecast; team pass volume #23, rush volume #21</x:v>
      </x:c>
    </x:row>
    <x:row r="166" ht="19" customHeight="1">
      <x:c r="A166" s="13" t="n">
        <x:v>162</x:v>
      </x:c>
      <x:c r="B166" s="12" t="n">
        <x:v>239.8</x:v>
      </x:c>
      <x:c r="C166" s="12" t="n">
        <x:f>B166-A166</x:f>
        <x:v>77.80000000000001</x:v>
      </x:c>
      <x:c r="D166" s="11" t="str">
        <x:v>Devaughn Vele</x:v>
      </x:c>
      <x:c r="E166" s="11" t="str">
        <x:v>WR</x:v>
      </x:c>
      <x:c r="F166" s="11" t="str">
        <x:v>NO</x:v>
      </x:c>
      <x:c r="G166" s="13" t="n">
        <x:v>8</x:v>
      </x:c>
      <x:c r="H166" s="12" t="n">
        <x:v>115.5</x:v>
      </x:c>
      <x:c r="I166" s="12" t="n">
        <x:v>111</x:v>
      </x:c>
      <x:c r="J166" s="12" t="n">
        <x:v>4.5</x:v>
      </x:c>
      <x:c r="K166" s="12" t="n">
        <x:v>113.3</x:v>
      </x:c>
      <x:c r="L166" s="12" t="n">
        <x:v>8.9</x:v>
      </x:c>
      <x:c r="M166" s="12" t="n">
        <x:v>-35.9</x:v>
      </x:c>
      <x:c r="N166" s="11" t="str">
        <x:v>Medium</x:v>
      </x:c>
      <x:c r="O166" s="13" t="n">
        <x:v>8</x:v>
      </x:c>
      <x:c r="P166" s="13" t="n">
        <x:v>22</x:v>
      </x:c>
      <x:c r="Q166" s="11"/>
      <x:c r="R166" s="11" t="str">
        <x:v>Veteran model: 2025 form, prior-year trend and same team pass/run forecast; team pass volume #8, rush volume #22</x:v>
      </x:c>
    </x:row>
    <x:row r="167" ht="19" customHeight="1">
      <x:c r="A167" s="13" t="n">
        <x:v>163</x:v>
      </x:c>
      <x:c r="B167" s="12" t="n">
        <x:v>166.4</x:v>
      </x:c>
      <x:c r="C167" s="12" t="n">
        <x:f>B167-A167</x:f>
        <x:v>3.4000000000000057</x:v>
      </x:c>
      <x:c r="D167" s="11" t="str">
        <x:v>Woody Marks</x:v>
      </x:c>
      <x:c r="E167" s="11" t="str">
        <x:v>RB</x:v>
      </x:c>
      <x:c r="F167" s="11" t="str">
        <x:v>HOU</x:v>
      </x:c>
      <x:c r="G167" s="13" t="n">
        <x:v>8</x:v>
      </x:c>
      <x:c r="H167" s="12" t="n">
        <x:v>163.3</x:v>
      </x:c>
      <x:c r="I167" s="12" t="n">
        <x:v>84</x:v>
      </x:c>
      <x:c r="J167" s="12" t="n">
        <x:v>79.3</x:v>
      </x:c>
      <x:c r="K167" s="12" t="n">
        <x:v>123.7</x:v>
      </x:c>
      <x:c r="L167" s="12" t="n">
        <x:v>11.8</x:v>
      </x:c>
      <x:c r="M167" s="12" t="n">
        <x:v>-37.4</x:v>
      </x:c>
      <x:c r="N167" s="11" t="str">
        <x:v>Medium</x:v>
      </x:c>
      <x:c r="O167" s="13" t="n">
        <x:v>9</x:v>
      </x:c>
      <x:c r="P167" s="13" t="n">
        <x:v>17</x:v>
      </x:c>
      <x:c r="Q167" s="11"/>
      <x:c r="R167" s="11" t="str">
        <x:v>Veteran model: 2025 form, prior-year trend and same team pass/run forecast; team pass volume #9, rush volume #17</x:v>
      </x:c>
    </x:row>
    <x:row r="168" ht="19" customHeight="1">
      <x:c r="A168" s="13" t="n">
        <x:v>164</x:v>
      </x:c>
      <x:c r="B168" s="12" t="n">
        <x:v>209.4</x:v>
      </x:c>
      <x:c r="C168" s="12" t="n">
        <x:f>B168-A168</x:f>
        <x:v>45.400000000000006</x:v>
      </x:c>
      <x:c r="D168" s="11" t="str">
        <x:v>Terrance Ferguson</x:v>
      </x:c>
      <x:c r="E168" s="11" t="str">
        <x:v>TE</x:v>
      </x:c>
      <x:c r="F168" s="11" t="str">
        <x:v>LAR</x:v>
      </x:c>
      <x:c r="G168" s="13" t="n">
        <x:v>11</x:v>
      </x:c>
      <x:c r="H168" s="12" t="n">
        <x:v>95.3</x:v>
      </x:c>
      <x:c r="I168" s="12" t="n">
        <x:v>100</x:v>
      </x:c>
      <x:c r="J168" s="12" t="n">
        <x:v>-4.7</x:v>
      </x:c>
      <x:c r="K168" s="12" t="n">
        <x:v>97.7</x:v>
      </x:c>
      <x:c r="L168" s="12" t="n">
        <x:v>11.5</x:v>
      </x:c>
      <x:c r="M168" s="12" t="n">
        <x:v>-37.5</x:v>
      </x:c>
      <x:c r="N168" s="11" t="str">
        <x:v>Medium</x:v>
      </x:c>
      <x:c r="O168" s="13" t="n">
        <x:v>7</x:v>
      </x:c>
      <x:c r="P168" s="13" t="n">
        <x:v>14</x:v>
      </x:c>
      <x:c r="Q168" s="11"/>
      <x:c r="R168" s="11" t="str">
        <x:v>Veteran model: 2025 form, prior-year trend and same team pass/run forecast; team pass volume #7, rush volume #14</x:v>
      </x:c>
    </x:row>
    <x:row r="169" ht="19" customHeight="1">
      <x:c r="A169" s="13" t="n">
        <x:v>165</x:v>
      </x:c>
      <x:c r="B169" s="12" t="n">
        <x:v>198.2</x:v>
      </x:c>
      <x:c r="C169" s="12" t="n">
        <x:f>B169-A169</x:f>
        <x:v>33.19999999999999</x:v>
      </x:c>
      <x:c r="D169" s="11" t="str">
        <x:v>Cyrus Allen</x:v>
      </x:c>
      <x:c r="E169" s="11" t="str">
        <x:v>WR</x:v>
      </x:c>
      <x:c r="F169" s="11" t="str">
        <x:v>KC</x:v>
      </x:c>
      <x:c r="G169" s="13" t="n">
        <x:v>5</x:v>
      </x:c>
      <x:c r="H169" s="12" t="n">
        <x:v>60.6</x:v>
      </x:c>
      <x:c r="I169" s="12" t="n">
        <x:v>95</x:v>
      </x:c>
      <x:c r="J169" s="12" t="n">
        <x:v>-34.4</x:v>
      </x:c>
      <x:c r="K169" s="12" t="n">
        <x:v>86.4</x:v>
      </x:c>
      <x:c r="L169" s="12" t="n">
        <x:v>6.7</x:v>
      </x:c>
      <x:c r="M169" s="12" t="n">
        <x:v>-37.6</x:v>
      </x:c>
      <x:c r="N169" s="11" t="str">
        <x:v>Low</x:v>
      </x:c>
      <x:c r="O169" s="13" t="n">
        <x:v>5</x:v>
      </x:c>
      <x:c r="P169" s="13" t="n">
        <x:v>25</x:v>
      </x:c>
      <x:c r="Q169" s="11"/>
      <x:c r="R169" s="11" t="str">
        <x:v>Rookie model: pick 176, age and destination-team environment; team pass volume #5, rush volume #25</x:v>
      </x:c>
    </x:row>
    <x:row r="170" ht="19" customHeight="1">
      <x:c r="A170" s="13" t="n">
        <x:v>166</x:v>
      </x:c>
      <x:c r="B170" s="12" t="n">
        <x:v>224.3</x:v>
      </x:c>
      <x:c r="C170" s="12" t="n">
        <x:f>B170-A170</x:f>
        <x:v>58.30000000000001</x:v>
      </x:c>
      <x:c r="D170" s="11" t="str">
        <x:v>Mason Taylor</x:v>
      </x:c>
      <x:c r="E170" s="11" t="str">
        <x:v>TE</x:v>
      </x:c>
      <x:c r="F170" s="11" t="str">
        <x:v>NYJ</x:v>
      </x:c>
      <x:c r="G170" s="13" t="n">
        <x:v>13</x:v>
      </x:c>
      <x:c r="H170" s="12" t="n">
        <x:v>112.5</x:v>
      </x:c>
      <x:c r="I170" s="12" t="n">
        <x:v>96</x:v>
      </x:c>
      <x:c r="J170" s="12" t="n">
        <x:v>16.5</x:v>
      </x:c>
      <x:c r="K170" s="12" t="n">
        <x:v>104.2</x:v>
      </x:c>
      <x:c r="L170" s="12" t="n">
        <x:v>13.1</x:v>
      </x:c>
      <x:c r="M170" s="12" t="n">
        <x:v>-37.8</x:v>
      </x:c>
      <x:c r="N170" s="11" t="str">
        <x:v>Medium</x:v>
      </x:c>
      <x:c r="O170" s="13" t="n">
        <x:v>20</x:v>
      </x:c>
      <x:c r="P170" s="13" t="n">
        <x:v>28</x:v>
      </x:c>
      <x:c r="Q170" s="11"/>
      <x:c r="R170" s="11" t="str">
        <x:v>Veteran model: 2025 form, prior-year trend and same team pass/run forecast; team pass volume #20, rush volume #28</x:v>
      </x:c>
    </x:row>
    <x:row r="171" ht="19" customHeight="1">
      <x:c r="A171" s="13" t="n">
        <x:v>167</x:v>
      </x:c>
      <x:c r="B171" s="12" t="n">
        <x:v>160.2</x:v>
      </x:c>
      <x:c r="C171" s="12" t="n">
        <x:f>B171-A171</x:f>
        <x:v>-6.800000000000011</x:v>
      </x:c>
      <x:c r="D171" s="11" t="str">
        <x:v>Alvin Kamara</x:v>
      </x:c>
      <x:c r="E171" s="11" t="str">
        <x:v>RB</x:v>
      </x:c>
      <x:c r="F171" s="11" t="str">
        <x:v>NO</x:v>
      </x:c>
      <x:c r="G171" s="13" t="n">
        <x:v>8</x:v>
      </x:c>
      <x:c r="H171" s="12" t="n">
        <x:v>154</x:v>
      </x:c>
      <x:c r="I171" s="12" t="n">
        <x:v>63</x:v>
      </x:c>
      <x:c r="J171" s="12" t="n">
        <x:v>91</x:v>
      </x:c>
      <x:c r="K171" s="12" t="n">
        <x:v>108.5</x:v>
      </x:c>
      <x:c r="L171" s="12" t="n">
        <x:v>9.4</x:v>
      </x:c>
      <x:c r="M171" s="12" t="n">
        <x:v>-38.2</x:v>
      </x:c>
      <x:c r="N171" s="11" t="str">
        <x:v>Medium</x:v>
      </x:c>
      <x:c r="O171" s="13" t="n">
        <x:v>8</x:v>
      </x:c>
      <x:c r="P171" s="13" t="n">
        <x:v>22</x:v>
      </x:c>
      <x:c r="Q171" s="11" t="str">
        <x:v>Ques</x:v>
      </x:c>
      <x:c r="R171" s="11" t="str">
        <x:v>Veteran model: 2025 form, prior-year trend and same team pass/run forecast; team pass volume #8, rush volume #22</x:v>
      </x:c>
    </x:row>
    <x:row r="172" ht="19" customHeight="1">
      <x:c r="A172" s="13" t="n">
        <x:v>168</x:v>
      </x:c>
      <x:c r="B172" s="12" t="n">
        <x:v>173.3</x:v>
      </x:c>
      <x:c r="C172" s="12" t="n">
        <x:f>B172-A172</x:f>
        <x:v>5.300000000000011</x:v>
      </x:c>
      <x:c r="D172" s="11" t="str">
        <x:v>Omar Cooper</x:v>
      </x:c>
      <x:c r="E172" s="11" t="str">
        <x:v>WR</x:v>
      </x:c>
      <x:c r="F172" s="11" t="str">
        <x:v>NYJ</x:v>
      </x:c>
      <x:c r="G172" s="13" t="n">
        <x:v>13</x:v>
      </x:c>
      <x:c r="H172" s="12" t="n">
        <x:v>152.4</x:v>
      </x:c>
      <x:c r="I172" s="12" t="n">
        <x:v>127</x:v>
      </x:c>
      <x:c r="J172" s="12" t="n">
        <x:v>25.4</x:v>
      </x:c>
      <x:c r="K172" s="12" t="n">
        <x:v>133.3</x:v>
      </x:c>
      <x:c r="L172" s="12" t="n">
        <x:v>13.6</x:v>
      </x:c>
      <x:c r="M172" s="12" t="n">
        <x:v>-38.8</x:v>
      </x:c>
      <x:c r="N172" s="11" t="str">
        <x:v>Low</x:v>
      </x:c>
      <x:c r="O172" s="13" t="n">
        <x:v>20</x:v>
      </x:c>
      <x:c r="P172" s="13" t="n">
        <x:v>28</x:v>
      </x:c>
      <x:c r="Q172" s="11"/>
      <x:c r="R172" s="11" t="str">
        <x:v>Rookie model: pick 30, age and destination-team environment; team pass volume #20, rush volume #28</x:v>
      </x:c>
    </x:row>
    <x:row r="173" ht="19" customHeight="1">
      <x:c r="A173" s="13" t="n">
        <x:v>169</x:v>
      </x:c>
      <x:c r="B173" s="12" t="n">
        <x:v>237.9</x:v>
      </x:c>
      <x:c r="C173" s="12" t="n">
        <x:f>B173-A173</x:f>
        <x:v>68.9</x:v>
      </x:c>
      <x:c r="D173" s="11" t="str">
        <x:v>Kayshon Boutte</x:v>
      </x:c>
      <x:c r="E173" s="11" t="str">
        <x:v>WR</x:v>
      </x:c>
      <x:c r="F173" s="11" t="str">
        <x:v>NE</x:v>
      </x:c>
      <x:c r="G173" s="13" t="n">
        <x:v>11</x:v>
      </x:c>
      <x:c r="H173" s="12" t="n">
        <x:v>145</x:v>
      </x:c>
      <x:c r="I173" s="12" t="n">
        <x:v>95</x:v>
      </x:c>
      <x:c r="J173" s="12" t="n">
        <x:v>50</x:v>
      </x:c>
      <x:c r="K173" s="12" t="n">
        <x:v>127.5</x:v>
      </x:c>
      <x:c r="L173" s="12" t="n">
        <x:v>12.2</x:v>
      </x:c>
      <x:c r="M173" s="12" t="n">
        <x:v>-39</x:v>
      </x:c>
      <x:c r="N173" s="11" t="str">
        <x:v>High</x:v>
      </x:c>
      <x:c r="O173" s="13" t="n">
        <x:v>27</x:v>
      </x:c>
      <x:c r="P173" s="13" t="n">
        <x:v>12</x:v>
      </x:c>
      <x:c r="Q173" s="11"/>
      <x:c r="R173" s="11" t="str">
        <x:v>Veteran model: 2025 form, prior-year trend and same team pass/run forecast; team pass volume #27, rush volume #12</x:v>
      </x:c>
    </x:row>
    <x:row r="174" ht="19" customHeight="1">
      <x:c r="A174" s="13" t="n">
        <x:v>170</x:v>
      </x:c>
      <x:c r="B174" s="12" t="n">
        <x:v>234.8</x:v>
      </x:c>
      <x:c r="C174" s="12" t="n">
        <x:f>B174-A174</x:f>
        <x:v>64.80000000000001</x:v>
      </x:c>
      <x:c r="D174" s="11" t="str">
        <x:v>Keon Coleman</x:v>
      </x:c>
      <x:c r="E174" s="11" t="str">
        <x:v>WR</x:v>
      </x:c>
      <x:c r="F174" s="11" t="str">
        <x:v>BUF</x:v>
      </x:c>
      <x:c r="G174" s="13" t="n">
        <x:v>7</x:v>
      </x:c>
      <x:c r="H174" s="12" t="n">
        <x:v>146.4</x:v>
      </x:c>
      <x:c r="I174" s="12" t="n">
        <x:v>86</x:v>
      </x:c>
      <x:c r="J174" s="12" t="n">
        <x:v>60.4</x:v>
      </x:c>
      <x:c r="K174" s="12" t="n">
        <x:v>125.3</x:v>
      </x:c>
      <x:c r="L174" s="12" t="n">
        <x:v>12</x:v>
      </x:c>
      <x:c r="M174" s="12" t="n">
        <x:v>-39.9</x:v>
      </x:c>
      <x:c r="N174" s="11" t="str">
        <x:v>High</x:v>
      </x:c>
      <x:c r="O174" s="13" t="n">
        <x:v>28</x:v>
      </x:c>
      <x:c r="P174" s="13" t="n">
        <x:v>3</x:v>
      </x:c>
      <x:c r="Q174" s="11" t="str">
        <x:v>Ques</x:v>
      </x:c>
      <x:c r="R174" s="11" t="str">
        <x:v>Veteran model: 2025 form, prior-year trend and same team pass/run forecast; team pass volume #28, rush volume #3</x:v>
      </x:c>
    </x:row>
    <x:row r="175" ht="19" customHeight="1">
      <x:c r="A175" s="13" t="n">
        <x:v>171</x:v>
      </x:c>
      <x:c r="B175" s="12" t="n">
        <x:v>227.9</x:v>
      </x:c>
      <x:c r="C175" s="12" t="n">
        <x:f>B175-A175</x:f>
        <x:v>56.900000000000006</x:v>
      </x:c>
      <x:c r="D175" s="11" t="str">
        <x:v>Aaron Rodgers</x:v>
      </x:c>
      <x:c r="E175" s="11" t="str">
        <x:v>QB</x:v>
      </x:c>
      <x:c r="F175" s="11" t="str">
        <x:v>PIT</x:v>
      </x:c>
      <x:c r="G175" s="13" t="n">
        <x:v>9</x:v>
      </x:c>
      <x:c r="H175" s="12" t="n">
        <x:v>246.1</x:v>
      </x:c>
      <x:c r="I175" s="12" t="n">
        <x:v>177</x:v>
      </x:c>
      <x:c r="J175" s="12" t="n">
        <x:v>69.1</x:v>
      </x:c>
      <x:c r="K175" s="12" t="n">
        <x:v>221.9</x:v>
      </x:c>
      <x:c r="L175" s="12" t="n">
        <x:v>10.7</x:v>
      </x:c>
      <x:c r="M175" s="12" t="n">
        <x:v>-40.5</x:v>
      </x:c>
      <x:c r="N175" s="11" t="str">
        <x:v>High</x:v>
      </x:c>
      <x:c r="O175" s="13" t="n">
        <x:v>24</x:v>
      </x:c>
      <x:c r="P175" s="13" t="n">
        <x:v>18</x:v>
      </x:c>
      <x:c r="Q175" s="11"/>
      <x:c r="R175" s="11" t="str">
        <x:v>Veteran model: 2025 form, prior-year trend and same team pass/run forecast; team pass volume #24, rush volume #18</x:v>
      </x:c>
    </x:row>
    <x:row r="176" ht="19" customHeight="1">
      <x:c r="A176" s="13" t="n">
        <x:v>172</x:v>
      </x:c>
      <x:c r="B176" s="12" t="n">
        <x:v>208.2</x:v>
      </x:c>
      <x:c r="C176" s="12" t="n">
        <x:f>B176-A176</x:f>
        <x:v>36.19999999999999</x:v>
      </x:c>
      <x:c r="D176" s="11" t="str">
        <x:v>Cam Ward</x:v>
      </x:c>
      <x:c r="E176" s="11" t="str">
        <x:v>QB</x:v>
      </x:c>
      <x:c r="F176" s="11" t="str">
        <x:v>TEN</x:v>
      </x:c>
      <x:c r="G176" s="13" t="n">
        <x:v>9</x:v>
      </x:c>
      <x:c r="H176" s="12" t="n">
        <x:v>225.4</x:v>
      </x:c>
      <x:c r="I176" s="12" t="n">
        <x:v>228</x:v>
      </x:c>
      <x:c r="J176" s="12" t="n">
        <x:v>-2.6</x:v>
      </x:c>
      <x:c r="K176" s="12" t="n">
        <x:v>226.7</x:v>
      </x:c>
      <x:c r="L176" s="12" t="n">
        <x:v>11.6</x:v>
      </x:c>
      <x:c r="M176" s="12" t="n">
        <x:v>-40.6</x:v>
      </x:c>
      <x:c r="N176" s="11" t="str">
        <x:v>Medium</x:v>
      </x:c>
      <x:c r="O176" s="13" t="n">
        <x:v>18</x:v>
      </x:c>
      <x:c r="P176" s="13" t="n">
        <x:v>30</x:v>
      </x:c>
      <x:c r="Q176" s="11"/>
      <x:c r="R176" s="11" t="str">
        <x:v>Veteran model: 2025 form, prior-year trend and same team pass/run forecast; team pass volume #18, rush volume #30</x:v>
      </x:c>
    </x:row>
    <x:row r="177" ht="19" customHeight="1">
      <x:c r="A177" s="13" t="n">
        <x:v>173</x:v>
      </x:c>
      <x:c r="B177" s="12" t="n">
        <x:v>216.3</x:v>
      </x:c>
      <x:c r="C177" s="12" t="n">
        <x:f>B177-A177</x:f>
        <x:v>43.30000000000001</x:v>
      </x:c>
      <x:c r="D177" s="11" t="str">
        <x:v>James Conner</x:v>
      </x:c>
      <x:c r="E177" s="11" t="str">
        <x:v>RB</x:v>
      </x:c>
      <x:c r="F177" s="11" t="str">
        <x:v>ARI</x:v>
      </x:c>
      <x:c r="G177" s="13" t="n">
        <x:v>14</x:v>
      </x:c>
      <x:c r="H177" s="12" t="n">
        <x:v>144.6</x:v>
      </x:c>
      <x:c r="I177" s="12" t="n">
        <x:v>57</x:v>
      </x:c>
      <x:c r="J177" s="12" t="n">
        <x:v>87.6</x:v>
      </x:c>
      <x:c r="K177" s="12" t="n">
        <x:v>78.9</x:v>
      </x:c>
      <x:c r="L177" s="12" t="n">
        <x:v>7.2</x:v>
      </x:c>
      <x:c r="M177" s="12" t="n">
        <x:v>-41.8</x:v>
      </x:c>
      <x:c r="N177" s="11" t="str">
        <x:v>Low</x:v>
      </x:c>
      <x:c r="O177" s="13" t="n">
        <x:v>3</x:v>
      </x:c>
      <x:c r="P177" s="13" t="n">
        <x:v>29</x:v>
      </x:c>
      <x:c r="Q177" s="11" t="str">
        <x:v>Ques</x:v>
      </x:c>
      <x:c r="R177" s="11" t="str">
        <x:v>Veteran model: 2025 form, prior-year trend and same team pass/run forecast; team pass volume #3, rush volume #29</x:v>
      </x:c>
    </x:row>
    <x:row r="178" ht="19" customHeight="1">
      <x:c r="A178" s="13" t="n">
        <x:v>174</x:v>
      </x:c>
      <x:c r="B178" s="12" t="n">
        <x:v>188.7</x:v>
      </x:c>
      <x:c r="C178" s="12" t="n">
        <x:f>B178-A178</x:f>
        <x:v>14.699999999999989</x:v>
      </x:c>
      <x:c r="D178" s="11" t="str">
        <x:v>Dylan Sampson</x:v>
      </x:c>
      <x:c r="E178" s="11" t="str">
        <x:v>RB</x:v>
      </x:c>
      <x:c r="F178" s="11" t="str">
        <x:v>CLE</x:v>
      </x:c>
      <x:c r="G178" s="13" t="n">
        <x:v>11</x:v>
      </x:c>
      <x:c r="H178" s="12" t="n">
        <x:v>135.6</x:v>
      </x:c>
      <x:c r="I178" s="12" t="n">
        <x:v>89</x:v>
      </x:c>
      <x:c r="J178" s="12" t="n">
        <x:v>46.6</x:v>
      </x:c>
      <x:c r="K178" s="12" t="n">
        <x:v>112.3</x:v>
      </x:c>
      <x:c r="L178" s="12" t="n">
        <x:v>10.9</x:v>
      </x:c>
      <x:c r="M178" s="12" t="n">
        <x:v>-41.9</x:v>
      </x:c>
      <x:c r="N178" s="11" t="str">
        <x:v>Medium</x:v>
      </x:c>
      <x:c r="O178" s="13" t="n">
        <x:v>4</x:v>
      </x:c>
      <x:c r="P178" s="13" t="n">
        <x:v>26</x:v>
      </x:c>
      <x:c r="Q178" s="11"/>
      <x:c r="R178" s="11" t="str">
        <x:v>Veteran model: 2025 form, prior-year trend and same team pass/run forecast; team pass volume #4, rush volume #26</x:v>
      </x:c>
    </x:row>
    <x:row r="179" ht="19" customHeight="1">
      <x:c r="A179" s="13" t="n">
        <x:v>175</x:v>
      </x:c>
      <x:c r="B179" s="12" t="n">
        <x:v>241.3</x:v>
      </x:c>
      <x:c r="C179" s="12" t="n">
        <x:f>B179-A179</x:f>
        <x:v>66.30000000000001</x:v>
      </x:c>
      <x:c r="D179" s="11" t="str">
        <x:v>Kimani Vidal</x:v>
      </x:c>
      <x:c r="E179" s="11" t="str">
        <x:v>RB</x:v>
      </x:c>
      <x:c r="F179" s="11" t="str">
        <x:v>LAC</x:v>
      </x:c>
      <x:c r="G179" s="13" t="n">
        <x:v>7</x:v>
      </x:c>
      <x:c r="H179" s="12" t="n">
        <x:v>140.2</x:v>
      </x:c>
      <x:c r="I179" s="12" t="n">
        <x:v>60</x:v>
      </x:c>
      <x:c r="J179" s="12" t="n">
        <x:v>80.2</x:v>
      </x:c>
      <x:c r="K179" s="12" t="n">
        <x:v>112.1</x:v>
      </x:c>
      <x:c r="L179" s="12" t="n">
        <x:v>11.1</x:v>
      </x:c>
      <x:c r="M179" s="12" t="n">
        <x:v>-42.8</x:v>
      </x:c>
      <x:c r="N179" s="11" t="str">
        <x:v>High</x:v>
      </x:c>
      <x:c r="O179" s="13" t="n">
        <x:v>14</x:v>
      </x:c>
      <x:c r="P179" s="13" t="n">
        <x:v>16</x:v>
      </x:c>
      <x:c r="Q179" s="11"/>
      <x:c r="R179" s="11" t="str">
        <x:v>Veteran model: 2025 form, prior-year trend and same team pass/run forecast; team pass volume #14, rush volume #16</x:v>
      </x:c>
    </x:row>
    <x:row r="180" ht="19" customHeight="1">
      <x:c r="A180" s="13" t="n">
        <x:v>176</x:v>
      </x:c>
      <x:c r="B180" s="12" t="n">
        <x:v>144.6</x:v>
      </x:c>
      <x:c r="C180" s="12" t="n">
        <x:f>B180-A180</x:f>
        <x:v>-31.400000000000006</x:v>
      </x:c>
      <x:c r="D180" s="11" t="str">
        <x:v>Chris Rodriguez</x:v>
      </x:c>
      <x:c r="E180" s="11" t="str">
        <x:v>RB</x:v>
      </x:c>
      <x:c r="F180" s="11" t="str">
        <x:v>JAX</x:v>
      </x:c>
      <x:c r="G180" s="13" t="n">
        <x:v>7</x:v>
      </x:c>
      <x:c r="H180" s="12" t="n">
        <x:v>98.4</x:v>
      </x:c>
      <x:c r="I180" s="12" t="n">
        <x:v>133</x:v>
      </x:c>
      <x:c r="J180" s="12" t="n">
        <x:v>-34.6</x:v>
      </x:c>
      <x:c r="K180" s="12" t="n">
        <x:v>110.5</x:v>
      </x:c>
      <x:c r="L180" s="12" t="n">
        <x:v>11</x:v>
      </x:c>
      <x:c r="M180" s="12" t="n">
        <x:v>-43.4</x:v>
      </x:c>
      <x:c r="N180" s="11" t="str">
        <x:v>High</x:v>
      </x:c>
      <x:c r="O180" s="13" t="n">
        <x:v>11</x:v>
      </x:c>
      <x:c r="P180" s="13" t="n">
        <x:v>15</x:v>
      </x:c>
      <x:c r="Q180" s="11"/>
      <x:c r="R180" s="11" t="str">
        <x:v>Veteran model: 2025 form, prior-year trend and new team pass/run forecast; team pass volume #11, rush volume #15</x:v>
      </x:c>
    </x:row>
    <x:row r="181" ht="19" customHeight="1">
      <x:c r="A181" s="13" t="n">
        <x:v>177</x:v>
      </x:c>
      <x:c r="B181" s="12" t="n">
        <x:v>207.5</x:v>
      </x:c>
      <x:c r="C181" s="12" t="n">
        <x:f>B181-A181</x:f>
        <x:v>30.5</x:v>
      </x:c>
      <x:c r="D181" s="11" t="str">
        <x:v>David Njoku</x:v>
      </x:c>
      <x:c r="E181" s="11" t="str">
        <x:v>TE</x:v>
      </x:c>
      <x:c r="F181" s="11" t="str">
        <x:v>LAC</x:v>
      </x:c>
      <x:c r="G181" s="13" t="n">
        <x:v>7</x:v>
      </x:c>
      <x:c r="H181" s="12" t="n">
        <x:v>115.2</x:v>
      </x:c>
      <x:c r="I181" s="12" t="n">
        <x:v>58</x:v>
      </x:c>
      <x:c r="J181" s="12" t="n">
        <x:v>57.2</x:v>
      </x:c>
      <x:c r="K181" s="12" t="n">
        <x:v>86.6</x:v>
      </x:c>
      <x:c r="L181" s="12" t="n">
        <x:v>11.3</x:v>
      </x:c>
      <x:c r="M181" s="12" t="n">
        <x:v>-44.3</x:v>
      </x:c>
      <x:c r="N181" s="11" t="str">
        <x:v>Medium</x:v>
      </x:c>
      <x:c r="O181" s="13" t="n">
        <x:v>14</x:v>
      </x:c>
      <x:c r="P181" s="13" t="n">
        <x:v>16</x:v>
      </x:c>
      <x:c r="Q181" s="11"/>
      <x:c r="R181" s="11" t="str">
        <x:v>Veteran model: 2025 form, prior-year trend and new team pass/run forecast; team pass volume #14, rush volume #16</x:v>
      </x:c>
    </x:row>
    <x:row r="182" ht="19" customHeight="1">
      <x:c r="A182" s="13" t="n">
        <x:v>178</x:v>
      </x:c>
      <x:c r="B182" s="12" t="n">
        <x:v>235.5</x:v>
      </x:c>
      <x:c r="C182" s="12" t="n">
        <x:f>B182-A182</x:f>
        <x:v>57.5</x:v>
      </x:c>
      <x:c r="D182" s="11" t="str">
        <x:v>Ryan Flournoy</x:v>
      </x:c>
      <x:c r="E182" s="11" t="str">
        <x:v>WR</x:v>
      </x:c>
      <x:c r="F182" s="11" t="str">
        <x:v>DAL</x:v>
      </x:c>
      <x:c r="G182" s="13" t="n">
        <x:v>14</x:v>
      </x:c>
      <x:c r="H182" s="12" t="n">
        <x:v>111.3</x:v>
      </x:c>
      <x:c r="I182" s="12" t="n">
        <x:v>121</x:v>
      </x:c>
      <x:c r="J182" s="12" t="n">
        <x:v>-9.7</x:v>
      </x:c>
      <x:c r="K182" s="12" t="n">
        <x:v>114.7</x:v>
      </x:c>
      <x:c r="L182" s="12" t="n">
        <x:v>11.3</x:v>
      </x:c>
      <x:c r="M182" s="12" t="n">
        <x:v>-44.6</x:v>
      </x:c>
      <x:c r="N182" s="11" t="str">
        <x:v>High</x:v>
      </x:c>
      <x:c r="O182" s="13" t="n">
        <x:v>2</x:v>
      </x:c>
      <x:c r="P182" s="13" t="n">
        <x:v>20</x:v>
      </x:c>
      <x:c r="Q182" s="11"/>
      <x:c r="R182" s="11" t="str">
        <x:v>Veteran model: 2025 form, prior-year trend and same team pass/run forecast; team pass volume #2, rush volume #20</x:v>
      </x:c>
    </x:row>
    <x:row r="183" ht="19" customHeight="1">
      <x:c r="A183" s="13" t="n">
        <x:v>179</x:v>
      </x:c>
      <x:c r="B183" s="12" t="n">
        <x:v>241.8</x:v>
      </x:c>
      <x:c r="C183" s="12" t="n">
        <x:f>B183-A183</x:f>
        <x:v>62.80000000000001</x:v>
      </x:c>
      <x:c r="D183" s="11" t="str">
        <x:v>Troy Franklin</x:v>
      </x:c>
      <x:c r="E183" s="11" t="str">
        <x:v>WR</x:v>
      </x:c>
      <x:c r="F183" s="11" t="str">
        <x:v>DEN</x:v>
      </x:c>
      <x:c r="G183" s="13" t="n">
        <x:v>10</x:v>
      </x:c>
      <x:c r="H183" s="12" t="n">
        <x:v>158.3</x:v>
      </x:c>
      <x:c r="I183" s="12" t="n">
        <x:v>66</x:v>
      </x:c>
      <x:c r="J183" s="12" t="n">
        <x:v>92.3</x:v>
      </x:c>
      <x:c r="K183" s="12" t="n">
        <x:v>126</x:v>
      </x:c>
      <x:c r="L183" s="12" t="n">
        <x:v>13.7</x:v>
      </x:c>
      <x:c r="M183" s="12" t="n">
        <x:v>-45</x:v>
      </x:c>
      <x:c r="N183" s="11" t="str">
        <x:v>High</x:v>
      </x:c>
      <x:c r="O183" s="13" t="n">
        <x:v>6</x:v>
      </x:c>
      <x:c r="P183" s="13" t="n">
        <x:v>19</x:v>
      </x:c>
      <x:c r="Q183" s="11"/>
      <x:c r="R183" s="11" t="str">
        <x:v>Veteran model: 2025 form, prior-year trend and same team pass/run forecast; team pass volume #6, rush volume #19</x:v>
      </x:c>
    </x:row>
    <x:row r="184" ht="19" customHeight="1">
      <x:c r="A184" s="13" t="n">
        <x:v>180</x:v>
      </x:c>
      <x:c r="B184" s="12" t="n">
        <x:v>239.6</x:v>
      </x:c>
      <x:c r="C184" s="12" t="n">
        <x:f>B184-A184</x:f>
        <x:v>59.599999999999994</x:v>
      </x:c>
      <x:c r="D184" s="11" t="str">
        <x:v>Eli Stowers</x:v>
      </x:c>
      <x:c r="E184" s="11" t="str">
        <x:v>TE</x:v>
      </x:c>
      <x:c r="F184" s="11" t="str">
        <x:v>PHI</x:v>
      </x:c>
      <x:c r="G184" s="13" t="n">
        <x:v>10</x:v>
      </x:c>
      <x:c r="H184" s="12" t="n">
        <x:v>111.2</x:v>
      </x:c>
      <x:c r="I184" s="12" t="n">
        <x:v>81</x:v>
      </x:c>
      <x:c r="J184" s="12" t="n">
        <x:v>30.2</x:v>
      </x:c>
      <x:c r="K184" s="12" t="n">
        <x:v>88.5</x:v>
      </x:c>
      <x:c r="L184" s="12" t="n">
        <x:v>11.9</x:v>
      </x:c>
      <x:c r="M184" s="12" t="n">
        <x:v>-45.3</x:v>
      </x:c>
      <x:c r="N184" s="11" t="str">
        <x:v>Low</x:v>
      </x:c>
      <x:c r="O184" s="13" t="n">
        <x:v>31</x:v>
      </x:c>
      <x:c r="P184" s="13" t="n">
        <x:v>2</x:v>
      </x:c>
      <x:c r="Q184" s="11"/>
      <x:c r="R184" s="11" t="str">
        <x:v>Rookie model: pick 54, age and destination-team environment; team pass volume #31, rush volume #2</x:v>
      </x:c>
    </x:row>
    <x:row r="185" ht="19" customHeight="1">
      <x:c r="A185" s="13" t="n">
        <x:v>181</x:v>
      </x:c>
      <x:c r="B185" s="12" t="n">
        <x:v>145.6</x:v>
      </x:c>
      <x:c r="C185" s="12" t="n">
        <x:f>B185-A185</x:f>
        <x:v>-35.400000000000006</x:v>
      </x:c>
      <x:c r="D185" s="11" t="str">
        <x:v>Kenyon Sadiq</x:v>
      </x:c>
      <x:c r="E185" s="11" t="str">
        <x:v>TE</x:v>
      </x:c>
      <x:c r="F185" s="11" t="str">
        <x:v>NYJ</x:v>
      </x:c>
      <x:c r="G185" s="13" t="n">
        <x:v>13</x:v>
      </x:c>
      <x:c r="H185" s="12" t="n">
        <x:v>129.5</x:v>
      </x:c>
      <x:c r="I185" s="12" t="n">
        <x:v>100</x:v>
      </x:c>
      <x:c r="J185" s="12" t="n">
        <x:v>29.5</x:v>
      </x:c>
      <x:c r="K185" s="12" t="n">
        <x:v>107.4</x:v>
      </x:c>
      <x:c r="L185" s="12" t="n">
        <x:v>17</x:v>
      </x:c>
      <x:c r="M185" s="12" t="n">
        <x:v>-45.8</x:v>
      </x:c>
      <x:c r="N185" s="11" t="str">
        <x:v>Low</x:v>
      </x:c>
      <x:c r="O185" s="13" t="n">
        <x:v>20</x:v>
      </x:c>
      <x:c r="P185" s="13" t="n">
        <x:v>28</x:v>
      </x:c>
      <x:c r="Q185" s="11" t="str">
        <x:v>Ques</x:v>
      </x:c>
      <x:c r="R185" s="11" t="str">
        <x:v>Rookie model: pick 16, age and destination-team environment; team pass volume #20, rush volume #28</x:v>
      </x:c>
    </x:row>
    <x:row r="186" ht="19" customHeight="1">
      <x:c r="A186" s="13" t="n">
        <x:v>182</x:v>
      </x:c>
      <x:c r="B186" s="12" t="n">
        <x:v>202.1</x:v>
      </x:c>
      <x:c r="C186" s="12" t="n">
        <x:f>B186-A186</x:f>
        <x:v>20.099999999999994</x:v>
      </x:c>
      <x:c r="D186" s="11" t="str">
        <x:v>Mike Washington</x:v>
      </x:c>
      <x:c r="E186" s="11" t="str">
        <x:v>RB</x:v>
      </x:c>
      <x:c r="F186" s="11" t="str">
        <x:v>LV</x:v>
      </x:c>
      <x:c r="G186" s="13" t="n">
        <x:v>13</x:v>
      </x:c>
      <x:c r="H186" s="12" t="n">
        <x:v>153.3</x:v>
      </x:c>
      <x:c r="I186" s="12" t="n">
        <x:v>62</x:v>
      </x:c>
      <x:c r="J186" s="12" t="n">
        <x:v>91.3</x:v>
      </x:c>
      <x:c r="K186" s="12" t="n">
        <x:v>84.8</x:v>
      </x:c>
      <x:c r="L186" s="12" t="n">
        <x:v>8.4</x:v>
      </x:c>
      <x:c r="M186" s="12" t="n">
        <x:v>-45.9</x:v>
      </x:c>
      <x:c r="N186" s="11" t="str">
        <x:v>Low</x:v>
      </x:c>
      <x:c r="O186" s="13" t="n">
        <x:v>15</x:v>
      </x:c>
      <x:c r="P186" s="13" t="n">
        <x:v>32</x:v>
      </x:c>
      <x:c r="Q186" s="11"/>
      <x:c r="R186" s="11" t="str">
        <x:v>Rookie model: pick 122, age and destination-team environment; team pass volume #15, rush volume #32</x:v>
      </x:c>
    </x:row>
    <x:row r="187" ht="19" customHeight="1">
      <x:c r="A187" s="13" t="n">
        <x:v>183</x:v>
      </x:c>
      <x:c r="B187" s="12" t="n">
        <x:v>241.4</x:v>
      </x:c>
      <x:c r="C187" s="12" t="n">
        <x:f>B187-A187</x:f>
        <x:v>58.400000000000006</x:v>
      </x:c>
      <x:c r="D187" s="11" t="str">
        <x:v>Jake Tonges</x:v>
      </x:c>
      <x:c r="E187" s="11" t="str">
        <x:v>TE</x:v>
      </x:c>
      <x:c r="F187" s="11" t="str">
        <x:v>SF</x:v>
      </x:c>
      <x:c r="G187" s="13" t="n">
        <x:v>8</x:v>
      </x:c>
      <x:c r="H187" s="12" t="n">
        <x:v>82.7</x:v>
      </x:c>
      <x:c r="I187" s="12" t="n">
        <x:v>71</x:v>
      </x:c>
      <x:c r="J187" s="12" t="n">
        <x:v>11.7</x:v>
      </x:c>
      <x:c r="K187" s="12" t="n">
        <x:v>76.9</x:v>
      </x:c>
      <x:c r="L187" s="12" t="n">
        <x:v>10.3</x:v>
      </x:c>
      <x:c r="M187" s="12" t="n">
        <x:v>-46.2</x:v>
      </x:c>
      <x:c r="N187" s="11" t="str">
        <x:v>Medium</x:v>
      </x:c>
      <x:c r="O187" s="13" t="n">
        <x:v>16</x:v>
      </x:c>
      <x:c r="P187" s="13" t="n">
        <x:v>9</x:v>
      </x:c>
      <x:c r="Q187" s="11"/>
      <x:c r="R187" s="11" t="str">
        <x:v>Veteran model: 2025 form, prior-year trend and same team pass/run forecast; team pass volume #16, rush volume #9</x:v>
      </x:c>
    </x:row>
    <x:row r="188" ht="19" customHeight="1">
      <x:c r="A188" s="13" t="n">
        <x:v>184</x:v>
      </x:c>
      <x:c r="B188" s="12" t="n">
        <x:v>223.2</x:v>
      </x:c>
      <x:c r="C188" s="12" t="n">
        <x:f>B188-A188</x:f>
        <x:v>39.19999999999999</x:v>
      </x:c>
      <x:c r="D188" s="11" t="str">
        <x:v>Malachi Fields</x:v>
      </x:c>
      <x:c r="E188" s="11" t="str">
        <x:v>WR</x:v>
      </x:c>
      <x:c r="F188" s="11" t="str">
        <x:v>NYG</x:v>
      </x:c>
      <x:c r="G188" s="13" t="n">
        <x:v>8</x:v>
      </x:c>
      <x:c r="H188" s="12" t="n">
        <x:v>110.6</x:v>
      </x:c>
      <x:c r="I188" s="12" t="n">
        <x:v>91</x:v>
      </x:c>
      <x:c r="J188" s="12" t="n">
        <x:v>19.6</x:v>
      </x:c>
      <x:c r="K188" s="12" t="n">
        <x:v>95.9</x:v>
      </x:c>
      <x:c r="L188" s="12" t="n">
        <x:v>9.2</x:v>
      </x:c>
      <x:c r="M188" s="12" t="n">
        <x:v>-46.5</x:v>
      </x:c>
      <x:c r="N188" s="11" t="str">
        <x:v>Low</x:v>
      </x:c>
      <x:c r="O188" s="13" t="n">
        <x:v>19</x:v>
      </x:c>
      <x:c r="P188" s="13" t="n">
        <x:v>10</x:v>
      </x:c>
      <x:c r="Q188" s="11"/>
      <x:c r="R188" s="11" t="str">
        <x:v>Rookie model: pick 74, age and destination-team environment; team pass volume #19, rush volume #10</x:v>
      </x:c>
    </x:row>
    <x:row r="189" ht="19" customHeight="1">
      <x:c r="A189" s="13" t="n">
        <x:v>185</x:v>
      </x:c>
      <x:c r="B189" s="12" t="n">
        <x:v>178.3</x:v>
      </x:c>
      <x:c r="C189" s="12" t="n">
        <x:f>B189-A189</x:f>
        <x:v>-6.699999999999989</x:v>
      </x:c>
      <x:c r="D189" s="11" t="str">
        <x:v>Fernando Mendoza</x:v>
      </x:c>
      <x:c r="E189" s="11" t="str">
        <x:v>QB</x:v>
      </x:c>
      <x:c r="F189" s="11" t="str">
        <x:v>LV</x:v>
      </x:c>
      <x:c r="G189" s="13" t="n">
        <x:v>13</x:v>
      </x:c>
      <x:c r="H189" s="12" t="n">
        <x:v>266.6</x:v>
      </x:c>
      <x:c r="I189" s="12" t="n">
        <x:v>212</x:v>
      </x:c>
      <x:c r="J189" s="12" t="n">
        <x:v>54.6</x:v>
      </x:c>
      <x:c r="K189" s="12" t="n">
        <x:v>225.6</x:v>
      </x:c>
      <x:c r="L189" s="12" t="n">
        <x:v>13.1</x:v>
      </x:c>
      <x:c r="M189" s="12" t="n">
        <x:v>-46.7</x:v>
      </x:c>
      <x:c r="N189" s="11" t="str">
        <x:v>Low</x:v>
      </x:c>
      <x:c r="O189" s="13" t="n">
        <x:v>15</x:v>
      </x:c>
      <x:c r="P189" s="13" t="n">
        <x:v>32</x:v>
      </x:c>
      <x:c r="Q189" s="11"/>
      <x:c r="R189" s="11" t="str">
        <x:v>Rookie model: pick 1, age and destination-team environment; team pass volume #15, rush volume #32</x:v>
      </x:c>
    </x:row>
    <x:row r="190" ht="19" customHeight="1">
      <x:c r="A190" s="13" t="n">
        <x:v>186</x:v>
      </x:c>
      <x:c r="B190" s="12" t="n">
        <x:v>200.3</x:v>
      </x:c>
      <x:c r="C190" s="12" t="n">
        <x:f>B190-A190</x:f>
        <x:v>14.300000000000011</x:v>
      </x:c>
      <x:c r="D190" s="11" t="str">
        <x:v>MarShawn Lloyd</x:v>
      </x:c>
      <x:c r="E190" s="11" t="str">
        <x:v>RB</x:v>
      </x:c>
      <x:c r="F190" s="11" t="str">
        <x:v>GB</x:v>
      </x:c>
      <x:c r="G190" s="13" t="n">
        <x:v>11</x:v>
      </x:c>
      <x:c r="H190" s="12" t="n">
        <x:v>80.3</x:v>
      </x:c>
      <x:c r="I190" s="12" t="n">
        <x:v>52</x:v>
      </x:c>
      <x:c r="J190" s="12" t="n">
        <x:v>28.3</x:v>
      </x:c>
      <x:c r="K190" s="12" t="n">
        <x:v>59.1</x:v>
      </x:c>
      <x:c r="L190" s="12" t="n">
        <x:v>6.7</x:v>
      </x:c>
      <x:c r="M190" s="12" t="n">
        <x:v>-46.7</x:v>
      </x:c>
      <x:c r="N190" s="11" t="str">
        <x:v>Low</x:v>
      </x:c>
      <x:c r="O190" s="13" t="n">
        <x:v>30</x:v>
      </x:c>
      <x:c r="P190" s="13" t="n">
        <x:v>4</x:v>
      </x:c>
      <x:c r="Q190" s="11"/>
      <x:c r="R190" s="11" t="str">
        <x:v>Veteran model: 2024 form, prior-year trend and same team pass/run forecast; team pass volume #30, rush volume #4</x:v>
      </x:c>
    </x:row>
    <x:row r="191" ht="19" customHeight="1">
      <x:c r="A191" s="13" t="n">
        <x:v>187</x:v>
      </x:c>
      <x:c r="B191" s="12" t="n">
        <x:v>230.8</x:v>
      </x:c>
      <x:c r="C191" s="12" t="n">
        <x:f>B191-A191</x:f>
        <x:v>43.80000000000001</x:v>
      </x:c>
      <x:c r="D191" s="11" t="str">
        <x:v>Germie Bernard</x:v>
      </x:c>
      <x:c r="E191" s="11" t="str">
        <x:v>WR</x:v>
      </x:c>
      <x:c r="F191" s="11" t="str">
        <x:v>PIT</x:v>
      </x:c>
      <x:c r="G191" s="13" t="n">
        <x:v>9</x:v>
      </x:c>
      <x:c r="H191" s="12" t="n">
        <x:v>135.2</x:v>
      </x:c>
      <x:c r="I191" s="12" t="n">
        <x:v>99</x:v>
      </x:c>
      <x:c r="J191" s="12" t="n">
        <x:v>36.2</x:v>
      </x:c>
      <x:c r="K191" s="12" t="n">
        <x:v>108.1</x:v>
      </x:c>
      <x:c r="L191" s="12" t="n">
        <x:v>10.8</x:v>
      </x:c>
      <x:c r="M191" s="12" t="n">
        <x:v>-46.8</x:v>
      </x:c>
      <x:c r="N191" s="11" t="str">
        <x:v>Low</x:v>
      </x:c>
      <x:c r="O191" s="13" t="n">
        <x:v>24</x:v>
      </x:c>
      <x:c r="P191" s="13" t="n">
        <x:v>18</x:v>
      </x:c>
      <x:c r="Q191" s="11"/>
      <x:c r="R191" s="11" t="str">
        <x:v>Rookie model: pick 47, age and destination-team environment; team pass volume #24, rush volume #18</x:v>
      </x:c>
    </x:row>
    <x:row r="192" ht="19" customHeight="1">
      <x:c r="A192" s="13" t="n">
        <x:v>188</x:v>
      </x:c>
      <x:c r="B192" s="12" t="n">
        <x:v>239.6</x:v>
      </x:c>
      <x:c r="C192" s="12" t="n">
        <x:f>B192-A192</x:f>
        <x:v>51.599999999999994</x:v>
      </x:c>
      <x:c r="D192" s="11" t="str">
        <x:v>Ted Hurst</x:v>
      </x:c>
      <x:c r="E192" s="11" t="str">
        <x:v>WR</x:v>
      </x:c>
      <x:c r="F192" s="11" t="str">
        <x:v>TB</x:v>
      </x:c>
      <x:c r="G192" s="13" t="n">
        <x:v>10</x:v>
      </x:c>
      <x:c r="H192" s="12" t="n">
        <x:v>113</x:v>
      </x:c>
      <x:c r="I192" s="12" t="n">
        <x:v>98</x:v>
      </x:c>
      <x:c r="J192" s="12" t="n">
        <x:v>15</x:v>
      </x:c>
      <x:c r="K192" s="12" t="n">
        <x:v>101.7</x:v>
      </x:c>
      <x:c r="L192" s="12" t="n">
        <x:v>10</x:v>
      </x:c>
      <x:c r="M192" s="12" t="n">
        <x:v>-47.1</x:v>
      </x:c>
      <x:c r="N192" s="11" t="str">
        <x:v>Low</x:v>
      </x:c>
      <x:c r="O192" s="13" t="n">
        <x:v>12</x:v>
      </x:c>
      <x:c r="P192" s="13" t="n">
        <x:v>11</x:v>
      </x:c>
      <x:c r="Q192" s="11"/>
      <x:c r="R192" s="11" t="str">
        <x:v>Rookie model: pick 84, age and destination-team environment; team pass volume #12, rush volume #11</x:v>
      </x:c>
    </x:row>
    <x:row r="193" ht="19" customHeight="1">
      <x:c r="A193" s="13" t="n">
        <x:v>189</x:v>
      </x:c>
      <x:c r="B193" s="12" t="n">
        <x:v>199.4</x:v>
      </x:c>
      <x:c r="C193" s="12" t="n">
        <x:f>B193-A193</x:f>
        <x:v>10.400000000000006</x:v>
      </x:c>
      <x:c r="D193" s="11" t="str">
        <x:v>Malik Washington</x:v>
      </x:c>
      <x:c r="E193" s="11" t="str">
        <x:v>WR</x:v>
      </x:c>
      <x:c r="F193" s="11" t="str">
        <x:v>MIA</x:v>
      </x:c>
      <x:c r="G193" s="13" t="n">
        <x:v>6</x:v>
      </x:c>
      <x:c r="H193" s="12" t="n">
        <x:v>108.4</x:v>
      </x:c>
      <x:c r="I193" s="12" t="n">
        <x:v>131</x:v>
      </x:c>
      <x:c r="J193" s="12" t="n">
        <x:v>-22.6</x:v>
      </x:c>
      <x:c r="K193" s="12" t="n">
        <x:v>116.3</x:v>
      </x:c>
      <x:c r="L193" s="12" t="n">
        <x:v>12.3</x:v>
      </x:c>
      <x:c r="M193" s="12" t="n">
        <x:v>-47.4</x:v>
      </x:c>
      <x:c r="N193" s="11" t="str">
        <x:v>High</x:v>
      </x:c>
      <x:c r="O193" s="13" t="n">
        <x:v>25</x:v>
      </x:c>
      <x:c r="P193" s="13" t="n">
        <x:v>24</x:v>
      </x:c>
      <x:c r="Q193" s="11"/>
      <x:c r="R193" s="11" t="str">
        <x:v>Veteran model: 2025 form, prior-year trend and same team pass/run forecast; team pass volume #25, rush volume #24</x:v>
      </x:c>
    </x:row>
    <x:row r="194" ht="19" customHeight="1">
      <x:c r="A194" s="13" t="n">
        <x:v>190</x:v>
      </x:c>
      <x:c r="B194" s="12" t="n">
        <x:v>209.8</x:v>
      </x:c>
      <x:c r="C194" s="12" t="n">
        <x:f>B194-A194</x:f>
        <x:v>19.80000000000001</x:v>
      </x:c>
      <x:c r="D194" s="11" t="str">
        <x:v>Tre' Harris</x:v>
      </x:c>
      <x:c r="E194" s="11" t="str">
        <x:v>WR</x:v>
      </x:c>
      <x:c r="F194" s="11" t="str">
        <x:v>LAC</x:v>
      </x:c>
      <x:c r="G194" s="13" t="n">
        <x:v>7</x:v>
      </x:c>
      <x:c r="H194" s="12" t="n">
        <x:v>113.1</x:v>
      </x:c>
      <x:c r="I194" s="12" t="n">
        <x:v>113</x:v>
      </x:c>
      <x:c r="J194" s="12" t="n">
        <x:v>0.1</x:v>
      </x:c>
      <x:c r="K194" s="12" t="n">
        <x:v>113</x:v>
      </x:c>
      <x:c r="L194" s="12" t="n">
        <x:v>11.7</x:v>
      </x:c>
      <x:c r="M194" s="12" t="n">
        <x:v>-47.4</x:v>
      </x:c>
      <x:c r="N194" s="11" t="str">
        <x:v>Medium</x:v>
      </x:c>
      <x:c r="O194" s="13" t="n">
        <x:v>14</x:v>
      </x:c>
      <x:c r="P194" s="13" t="n">
        <x:v>16</x:v>
      </x:c>
      <x:c r="Q194" s="11"/>
      <x:c r="R194" s="11" t="str">
        <x:v>Veteran model: 2025 form, prior-year trend and same team pass/run forecast; team pass volume #14, rush volume #16</x:v>
      </x:c>
    </x:row>
    <x:row r="195" ht="19" customHeight="1">
      <x:c r="A195" s="13" t="n">
        <x:v>191</x:v>
      </x:c>
      <x:c r="B195" s="12" t="n">
        <x:v>232.7</x:v>
      </x:c>
      <x:c r="C195" s="12" t="n">
        <x:f>B195-A195</x:f>
        <x:v>41.69999999999999</x:v>
      </x:c>
      <x:c r="D195" s="11" t="str">
        <x:v>Rashod Bateman</x:v>
      </x:c>
      <x:c r="E195" s="11" t="str">
        <x:v>WR</x:v>
      </x:c>
      <x:c r="F195" s="11" t="str">
        <x:v>BAL</x:v>
      </x:c>
      <x:c r="G195" s="13" t="n">
        <x:v>13</x:v>
      </x:c>
      <x:c r="H195" s="12" t="n">
        <x:v>104.3</x:v>
      </x:c>
      <x:c r="I195" s="12" t="n">
        <x:v>102</x:v>
      </x:c>
      <x:c r="J195" s="12" t="n">
        <x:v>2.3</x:v>
      </x:c>
      <x:c r="K195" s="12" t="n">
        <x:v>103.5</x:v>
      </x:c>
      <x:c r="L195" s="12" t="n">
        <x:v>10.3</x:v>
      </x:c>
      <x:c r="M195" s="12" t="n">
        <x:v>-47.4</x:v>
      </x:c>
      <x:c r="N195" s="11" t="str">
        <x:v>High</x:v>
      </x:c>
      <x:c r="O195" s="13" t="n">
        <x:v>32</x:v>
      </x:c>
      <x:c r="P195" s="13" t="n">
        <x:v>1</x:v>
      </x:c>
      <x:c r="Q195" s="11"/>
      <x:c r="R195" s="11" t="str">
        <x:v>Veteran model: 2025 form, prior-year trend and same team pass/run forecast; team pass volume #32, rush volume #1</x:v>
      </x:c>
    </x:row>
    <x:row r="196" ht="19" customHeight="1">
      <x:c r="A196" s="13" t="n">
        <x:v>192</x:v>
      </x:c>
      <x:c r="B196" s="12" t="n">
        <x:v>228.3</x:v>
      </x:c>
      <x:c r="C196" s="12" t="n">
        <x:f>B196-A196</x:f>
        <x:v>36.30000000000001</x:v>
      </x:c>
      <x:c r="D196" s="11" t="str">
        <x:v>Pat Bryant</x:v>
      </x:c>
      <x:c r="E196" s="11" t="str">
        <x:v>WR</x:v>
      </x:c>
      <x:c r="F196" s="11" t="str">
        <x:v>DEN</x:v>
      </x:c>
      <x:c r="G196" s="13" t="n">
        <x:v>10</x:v>
      </x:c>
      <x:c r="H196" s="12" t="n">
        <x:v>119.8</x:v>
      </x:c>
      <x:c r="I196" s="12" t="n">
        <x:v>96</x:v>
      </x:c>
      <x:c r="J196" s="12" t="n">
        <x:v>23.8</x:v>
      </x:c>
      <x:c r="K196" s="12" t="n">
        <x:v>107.9</x:v>
      </x:c>
      <x:c r="L196" s="12" t="n">
        <x:v>11</x:v>
      </x:c>
      <x:c r="M196" s="12" t="n">
        <x:v>-47.8</x:v>
      </x:c>
      <x:c r="N196" s="11" t="str">
        <x:v>Medium</x:v>
      </x:c>
      <x:c r="O196" s="13" t="n">
        <x:v>6</x:v>
      </x:c>
      <x:c r="P196" s="13" t="n">
        <x:v>19</x:v>
      </x:c>
      <x:c r="Q196" s="11"/>
      <x:c r="R196" s="11" t="str">
        <x:v>Veteran model: 2025 form, prior-year trend and same team pass/run forecast; team pass volume #6, rush volume #19</x:v>
      </x:c>
    </x:row>
    <x:row r="197" ht="19" customHeight="1">
      <x:c r="A197" s="13" t="n">
        <x:v>193</x:v>
      </x:c>
      <x:c r="B197" s="12" t="n">
        <x:v>78.6</x:v>
      </x:c>
      <x:c r="C197" s="12" t="n">
        <x:f>B197-A197</x:f>
        <x:v>-114.4</x:v>
      </x:c>
      <x:c r="D197" s="11" t="str">
        <x:v>Jordyn Tyson</x:v>
      </x:c>
      <x:c r="E197" s="11" t="str">
        <x:v>WR</x:v>
      </x:c>
      <x:c r="F197" s="11" t="str">
        <x:v>NO</x:v>
      </x:c>
      <x:c r="G197" s="13" t="n">
        <x:v>8</x:v>
      </x:c>
      <x:c r="H197" s="12" t="n">
        <x:v>175.7</x:v>
      </x:c>
      <x:c r="I197" s="12" t="n">
        <x:v>111</x:v>
      </x:c>
      <x:c r="J197" s="12" t="n">
        <x:v>64.7</x:v>
      </x:c>
      <x:c r="K197" s="12" t="n">
        <x:v>127.2</x:v>
      </x:c>
      <x:c r="L197" s="12" t="n">
        <x:v>14.9</x:v>
      </x:c>
      <x:c r="M197" s="12" t="n">
        <x:v>-47.9</x:v>
      </x:c>
      <x:c r="N197" s="11" t="str">
        <x:v>Low</x:v>
      </x:c>
      <x:c r="O197" s="13" t="n">
        <x:v>8</x:v>
      </x:c>
      <x:c r="P197" s="13" t="n">
        <x:v>22</x:v>
      </x:c>
      <x:c r="Q197" s="11" t="str">
        <x:v>Doub</x:v>
      </x:c>
      <x:c r="R197" s="11" t="str">
        <x:v>Rookie model: pick 8, age and destination-team environment; team pass volume #8, rush volume #22</x:v>
      </x:c>
    </x:row>
    <x:row r="198" ht="19" customHeight="1">
      <x:c r="A198" s="13" t="n">
        <x:v>194</x:v>
      </x:c>
      <x:c r="B198" s="12" t="n">
        <x:v>174.3</x:v>
      </x:c>
      <x:c r="C198" s="12" t="n">
        <x:f>B198-A198</x:f>
        <x:v>-19.69999999999999</x:v>
      </x:c>
      <x:c r="D198" s="11" t="str">
        <x:v>Ja'Kobi Lane</x:v>
      </x:c>
      <x:c r="E198" s="11" t="str">
        <x:v>WR</x:v>
      </x:c>
      <x:c r="F198" s="11" t="str">
        <x:v>BAL</x:v>
      </x:c>
      <x:c r="G198" s="13" t="n">
        <x:v>13</x:v>
      </x:c>
      <x:c r="H198" s="12" t="n">
        <x:v>101.6</x:v>
      </x:c>
      <x:c r="I198" s="12" t="n">
        <x:v>105</x:v>
      </x:c>
      <x:c r="J198" s="12" t="n">
        <x:v>-3.4</x:v>
      </x:c>
      <x:c r="K198" s="12" t="n">
        <x:v>104.1</x:v>
      </x:c>
      <x:c r="L198" s="12" t="n">
        <x:v>10.5</x:v>
      </x:c>
      <x:c r="M198" s="12" t="n">
        <x:v>-48</x:v>
      </x:c>
      <x:c r="N198" s="11" t="str">
        <x:v>Low</x:v>
      </x:c>
      <x:c r="O198" s="13" t="n">
        <x:v>32</x:v>
      </x:c>
      <x:c r="P198" s="13" t="n">
        <x:v>1</x:v>
      </x:c>
      <x:c r="Q198" s="11"/>
      <x:c r="R198" s="11" t="str">
        <x:v>Rookie model: pick 80, age and destination-team environment; team pass volume #32, rush volume #1</x:v>
      </x:c>
    </x:row>
    <x:row r="199" ht="19" customHeight="1">
      <x:c r="A199" s="13" t="n">
        <x:v>195</x:v>
      </x:c>
      <x:c r="B199" s="12" t="n">
        <x:v>228.7</x:v>
      </x:c>
      <x:c r="C199" s="12" t="n">
        <x:f>B199-A199</x:f>
        <x:v>33.69999999999999</x:v>
      </x:c>
      <x:c r="D199" s="11" t="str">
        <x:v>Tory Horton</x:v>
      </x:c>
      <x:c r="E199" s="11" t="str">
        <x:v>WR</x:v>
      </x:c>
      <x:c r="F199" s="11" t="str">
        <x:v>SEA</x:v>
      </x:c>
      <x:c r="G199" s="13" t="n">
        <x:v>11</x:v>
      </x:c>
      <x:c r="H199" s="12" t="n">
        <x:v>113.4</x:v>
      </x:c>
      <x:c r="I199" s="12" t="n">
        <x:v>92</x:v>
      </x:c>
      <x:c r="J199" s="12" t="n">
        <x:v>21.4</x:v>
      </x:c>
      <x:c r="K199" s="12" t="n">
        <x:v>102.7</x:v>
      </x:c>
      <x:c r="L199" s="12" t="n">
        <x:v>10.5</x:v>
      </x:c>
      <x:c r="M199" s="12" t="n">
        <x:v>-48.9</x:v>
      </x:c>
      <x:c r="N199" s="11" t="str">
        <x:v>Medium</x:v>
      </x:c>
      <x:c r="O199" s="13" t="n">
        <x:v>23</x:v>
      </x:c>
      <x:c r="P199" s="13" t="n">
        <x:v>21</x:v>
      </x:c>
      <x:c r="Q199" s="11" t="str">
        <x:v>Ques</x:v>
      </x:c>
      <x:c r="R199" s="11" t="str">
        <x:v>Veteran model: 2025 form, prior-year trend and same team pass/run forecast; team pass volume #23, rush volume #21</x:v>
      </x:c>
    </x:row>
    <x:row r="200" ht="19" customHeight="1">
      <x:c r="A200" s="13" t="n">
        <x:v>196</x:v>
      </x:c>
      <x:c r="B200" s="12" t="n">
        <x:v>213.7</x:v>
      </x:c>
      <x:c r="C200" s="12" t="n">
        <x:f>B200-A200</x:f>
        <x:v>17.69999999999999</x:v>
      </x:c>
      <x:c r="D200" s="11" t="str">
        <x:v>Jaylin Noel</x:v>
      </x:c>
      <x:c r="E200" s="11" t="str">
        <x:v>WR</x:v>
      </x:c>
      <x:c r="F200" s="11" t="str">
        <x:v>HOU</x:v>
      </x:c>
      <x:c r="G200" s="13" t="n">
        <x:v>8</x:v>
      </x:c>
      <x:c r="H200" s="12" t="n">
        <x:v>106.7</x:v>
      </x:c>
      <x:c r="I200" s="12" t="n">
        <x:v>114</x:v>
      </x:c>
      <x:c r="J200" s="12" t="n">
        <x:v>-7.3</x:v>
      </x:c>
      <x:c r="K200" s="12" t="n">
        <x:v>110.3</x:v>
      </x:c>
      <x:c r="L200" s="12" t="n">
        <x:v>11.7</x:v>
      </x:c>
      <x:c r="M200" s="12" t="n">
        <x:v>-49.2</x:v>
      </x:c>
      <x:c r="N200" s="11" t="str">
        <x:v>Medium</x:v>
      </x:c>
      <x:c r="O200" s="13" t="n">
        <x:v>9</x:v>
      </x:c>
      <x:c r="P200" s="13" t="n">
        <x:v>17</x:v>
      </x:c>
      <x:c r="Q200" s="11" t="str">
        <x:v>Ques</x:v>
      </x:c>
      <x:c r="R200" s="11" t="str">
        <x:v>Veteran model: 2025 form, prior-year trend and same team pass/run forecast; team pass volume #9, rush volume #17</x:v>
      </x:c>
    </x:row>
    <x:row r="201" ht="19" customHeight="1">
      <x:c r="A201" s="13" t="n">
        <x:v>197</x:v>
      </x:c>
      <x:c r="B201" s="12" t="n">
        <x:v>183.9</x:v>
      </x:c>
      <x:c r="C201" s="12" t="n">
        <x:f>B201-A201</x:f>
        <x:v>-13.099999999999994</x:v>
      </x:c>
      <x:c r="D201" s="11" t="str">
        <x:v>Jalen Nailor</x:v>
      </x:c>
      <x:c r="E201" s="11" t="str">
        <x:v>WR</x:v>
      </x:c>
      <x:c r="F201" s="11" t="str">
        <x:v>LV</x:v>
      </x:c>
      <x:c r="G201" s="13" t="n">
        <x:v>13</x:v>
      </x:c>
      <x:c r="H201" s="12" t="n">
        <x:v>103.4</x:v>
      </x:c>
      <x:c r="I201" s="12" t="n">
        <x:v>131</x:v>
      </x:c>
      <x:c r="J201" s="12" t="n">
        <x:v>-27.6</x:v>
      </x:c>
      <x:c r="K201" s="12" t="n">
        <x:v>113.1</x:v>
      </x:c>
      <x:c r="L201" s="12" t="n">
        <x:v>12.7</x:v>
      </x:c>
      <x:c r="M201" s="12" t="n">
        <x:v>-51.3</x:v>
      </x:c>
      <x:c r="N201" s="11" t="str">
        <x:v>High</x:v>
      </x:c>
      <x:c r="O201" s="13" t="n">
        <x:v>15</x:v>
      </x:c>
      <x:c r="P201" s="13" t="n">
        <x:v>32</x:v>
      </x:c>
      <x:c r="Q201" s="11"/>
      <x:c r="R201" s="11" t="str">
        <x:v>Veteran model: 2025 form, prior-year trend and new team pass/run forecast; team pass volume #15, rush volume #32</x:v>
      </x:c>
    </x:row>
    <x:row r="202" ht="19" customHeight="1">
      <x:c r="A202" s="13" t="n">
        <x:v>198</x:v>
      </x:c>
      <x:c r="B202" s="12" t="n">
        <x:v>188.2</x:v>
      </x:c>
      <x:c r="C202" s="12" t="n">
        <x:f>B202-A202</x:f>
        <x:v>-9.800000000000011</x:v>
      </x:c>
      <x:c r="D202" s="11" t="str">
        <x:v>Zachariah Branch</x:v>
      </x:c>
      <x:c r="E202" s="11" t="str">
        <x:v>WR</x:v>
      </x:c>
      <x:c r="F202" s="11" t="str">
        <x:v>ATL</x:v>
      </x:c>
      <x:c r="G202" s="13" t="n">
        <x:v>11</x:v>
      </x:c>
      <x:c r="H202" s="12" t="n">
        <x:v>112.8</x:v>
      </x:c>
      <x:c r="I202" s="12" t="n">
        <x:v>79</x:v>
      </x:c>
      <x:c r="J202" s="12" t="n">
        <x:v>33.8</x:v>
      </x:c>
      <x:c r="K202" s="12" t="n">
        <x:v>87.5</x:v>
      </x:c>
      <x:c r="L202" s="12" t="n">
        <x:v>9.4</x:v>
      </x:c>
      <x:c r="M202" s="12" t="n">
        <x:v>-52.1</x:v>
      </x:c>
      <x:c r="N202" s="11" t="str">
        <x:v>Low</x:v>
      </x:c>
      <x:c r="O202" s="13" t="n">
        <x:v>17</x:v>
      </x:c>
      <x:c r="P202" s="13" t="n">
        <x:v>5</x:v>
      </x:c>
      <x:c r="Q202" s="11"/>
      <x:c r="R202" s="11" t="str">
        <x:v>Rookie model: pick 79, age and destination-team environment; team pass volume #17, rush volume #5</x:v>
      </x:c>
    </x:row>
    <x:row r="203" ht="19" customHeight="1">
      <x:c r="A203" s="13" t="n">
        <x:v>199</x:v>
      </x:c>
      <x:c r="B203" s="12" t="n">
        <x:v>229.4</x:v>
      </x:c>
      <x:c r="C203" s="12" t="n">
        <x:f>B203-A203</x:f>
        <x:v>30.400000000000006</x:v>
      </x:c>
      <x:c r="D203" s="11" t="str">
        <x:v>Chimere Dike</x:v>
      </x:c>
      <x:c r="E203" s="11" t="str">
        <x:v>WR</x:v>
      </x:c>
      <x:c r="F203" s="11" t="str">
        <x:v>TEN</x:v>
      </x:c>
      <x:c r="G203" s="13" t="n">
        <x:v>9</x:v>
      </x:c>
      <x:c r="H203" s="12" t="n">
        <x:v>128.1</x:v>
      </x:c>
      <x:c r="I203" s="12" t="n">
        <x:v>89</x:v>
      </x:c>
      <x:c r="J203" s="12" t="n">
        <x:v>39.1</x:v>
      </x:c>
      <x:c r="K203" s="12" t="n">
        <x:v>108.5</x:v>
      </x:c>
      <x:c r="L203" s="12" t="n">
        <x:v>12.1</x:v>
      </x:c>
      <x:c r="M203" s="12" t="n">
        <x:v>-52.2</x:v>
      </x:c>
      <x:c r="N203" s="11" t="str">
        <x:v>Medium</x:v>
      </x:c>
      <x:c r="O203" s="13" t="n">
        <x:v>18</x:v>
      </x:c>
      <x:c r="P203" s="13" t="n">
        <x:v>30</x:v>
      </x:c>
      <x:c r="Q203" s="11"/>
      <x:c r="R203" s="11" t="str">
        <x:v>Veteran model: 2025 form, prior-year trend and same team pass/run forecast; team pass volume #18, rush volume #30</x:v>
      </x:c>
    </x:row>
    <x:row r="204" ht="19" customHeight="1">
      <x:c r="A204" s="13" t="n">
        <x:v>200</x:v>
      </x:c>
      <x:c r="B204" s="12" t="n">
        <x:v>237.7</x:v>
      </x:c>
      <x:c r="C204" s="12" t="n">
        <x:f>B204-A204</x:f>
        <x:v>37.69999999999999</x:v>
      </x:c>
      <x:c r="D204" s="11" t="str">
        <x:v>Adonai Mitchell</x:v>
      </x:c>
      <x:c r="E204" s="11" t="str">
        <x:v>WR</x:v>
      </x:c>
      <x:c r="F204" s="11" t="str">
        <x:v>NYJ</x:v>
      </x:c>
      <x:c r="G204" s="13" t="n">
        <x:v>13</x:v>
      </x:c>
      <x:c r="H204" s="12" t="n">
        <x:v>109.2</x:v>
      </x:c>
      <x:c r="I204" s="12" t="n">
        <x:v>98</x:v>
      </x:c>
      <x:c r="J204" s="12" t="n">
        <x:v>11.2</x:v>
      </x:c>
      <x:c r="K204" s="12" t="n">
        <x:v>105.2</x:v>
      </x:c>
      <x:c r="L204" s="12" t="n">
        <x:v>11.7</x:v>
      </x:c>
      <x:c r="M204" s="12" t="n">
        <x:v>-52.7</x:v>
      </x:c>
      <x:c r="N204" s="11" t="str">
        <x:v>High</x:v>
      </x:c>
      <x:c r="O204" s="13" t="n">
        <x:v>20</x:v>
      </x:c>
      <x:c r="P204" s="13" t="n">
        <x:v>28</x:v>
      </x:c>
      <x:c r="Q204" s="11"/>
      <x:c r="R204" s="11" t="str">
        <x:v>Veteran model: 2025 form, prior-year trend and same team pass/run forecast; team pass volume #20, rush volume #28</x:v>
      </x:c>
    </x:row>
    <x:row r="205" ht="19" customHeight="1">
      <x:c r="A205" s="13" t="n">
        <x:v>201</x:v>
      </x:c>
      <x:c r="B205" s="12" t="n">
        <x:v>238.2</x:v>
      </x:c>
      <x:c r="C205" s="12" t="n">
        <x:f>B205-A205</x:f>
        <x:v>37.19999999999999</x:v>
      </x:c>
      <x:c r="D205" s="11" t="str">
        <x:v>Jack Bech</x:v>
      </x:c>
      <x:c r="E205" s="11" t="str">
        <x:v>WR</x:v>
      </x:c>
      <x:c r="F205" s="11" t="str">
        <x:v>LV</x:v>
      </x:c>
      <x:c r="G205" s="13" t="n">
        <x:v>13</x:v>
      </x:c>
      <x:c r="H205" s="12" t="n">
        <x:v>102.4</x:v>
      </x:c>
      <x:c r="I205" s="12" t="n">
        <x:v>78</x:v>
      </x:c>
      <x:c r="J205" s="12" t="n">
        <x:v>24.4</x:v>
      </x:c>
      <x:c r="K205" s="12" t="n">
        <x:v>90.2</x:v>
      </x:c>
      <x:c r="L205" s="12" t="n">
        <x:v>10</x:v>
      </x:c>
      <x:c r="M205" s="12" t="n">
        <x:v>-53.9</x:v>
      </x:c>
      <x:c r="N205" s="11" t="str">
        <x:v>Medium</x:v>
      </x:c>
      <x:c r="O205" s="13" t="n">
        <x:v>15</x:v>
      </x:c>
      <x:c r="P205" s="13" t="n">
        <x:v>32</x:v>
      </x:c>
      <x:c r="Q205" s="11"/>
      <x:c r="R205" s="11" t="str">
        <x:v>Veteran model: 2025 form, prior-year trend and same team pass/run forecast; team pass volume #15, rush volume #32</x:v>
      </x:c>
    </x:row>
    <x:row r="206" ht="19" customHeight="1">
      <x:c r="A206" s="13" t="n">
        <x:v>202</x:v>
      </x:c>
      <x:c r="B206" s="12" t="n">
        <x:v>232.5</x:v>
      </x:c>
      <x:c r="C206" s="12" t="n">
        <x:f>B206-A206</x:f>
        <x:v>30.5</x:v>
      </x:c>
      <x:c r="D206" s="11" t="str">
        <x:v>Jaydon Blue</x:v>
      </x:c>
      <x:c r="E206" s="11" t="str">
        <x:v>RB</x:v>
      </x:c>
      <x:c r="F206" s="11" t="str">
        <x:v>DAL</x:v>
      </x:c>
      <x:c r="G206" s="13" t="n">
        <x:v>14</x:v>
      </x:c>
      <x:c r="H206" s="12" t="n">
        <x:v>101.5</x:v>
      </x:c>
      <x:c r="I206" s="12" t="n">
        <x:v>57</x:v>
      </x:c>
      <x:c r="J206" s="12" t="n">
        <x:v>44.5</x:v>
      </x:c>
      <x:c r="K206" s="12" t="n">
        <x:v>68.1</x:v>
      </x:c>
      <x:c r="L206" s="12" t="n">
        <x:v>8.4</x:v>
      </x:c>
      <x:c r="M206" s="12" t="n">
        <x:v>-54.1</x:v>
      </x:c>
      <x:c r="N206" s="11" t="str">
        <x:v>Low</x:v>
      </x:c>
      <x:c r="O206" s="13" t="n">
        <x:v>2</x:v>
      </x:c>
      <x:c r="P206" s="13" t="n">
        <x:v>20</x:v>
      </x:c>
      <x:c r="Q206" s="11" t="str">
        <x:v>Ques</x:v>
      </x:c>
      <x:c r="R206" s="11" t="str">
        <x:v>Veteran model: 2025 form, prior-year trend and same team pass/run forecast; team pass volume #2, rush volume #20</x:v>
      </x:c>
    </x:row>
    <x:row r="207" ht="19" customHeight="1">
      <x:c r="A207" s="13" t="n">
        <x:v>203</x:v>
      </x:c>
      <x:c r="B207" s="12" t="n">
        <x:v>211</x:v>
      </x:c>
      <x:c r="C207" s="12" t="n">
        <x:f>B207-A207</x:f>
        <x:v>8</x:v>
      </x:c>
      <x:c r="D207" s="11" t="str">
        <x:v>Braelon Allen</x:v>
      </x:c>
      <x:c r="E207" s="11" t="str">
        <x:v>RB</x:v>
      </x:c>
      <x:c r="F207" s="11" t="str">
        <x:v>NYJ</x:v>
      </x:c>
      <x:c r="G207" s="13" t="n">
        <x:v>13</x:v>
      </x:c>
      <x:c r="H207" s="12" t="n">
        <x:v>85.4</x:v>
      </x:c>
      <x:c r="I207" s="12" t="n">
        <x:v>52</x:v>
      </x:c>
      <x:c r="J207" s="12" t="n">
        <x:v>33.4</x:v>
      </x:c>
      <x:c r="K207" s="12" t="n">
        <x:v>60.3</x:v>
      </x:c>
      <x:c r="L207" s="12" t="n">
        <x:v>7.9</x:v>
      </x:c>
      <x:c r="M207" s="12" t="n">
        <x:v>-54.5</x:v>
      </x:c>
      <x:c r="N207" s="11" t="str">
        <x:v>Low</x:v>
      </x:c>
      <x:c r="O207" s="13" t="n">
        <x:v>20</x:v>
      </x:c>
      <x:c r="P207" s="13" t="n">
        <x:v>28</x:v>
      </x:c>
      <x:c r="Q207" s="11"/>
      <x:c r="R207" s="11" t="str">
        <x:v>Veteran model: 2025 form, prior-year trend and same team pass/run forecast; team pass volume #20, rush volume #28</x:v>
      </x:c>
    </x:row>
    <x:row r="208" ht="19" customHeight="1">
      <x:c r="A208" s="13" t="n">
        <x:v>204</x:v>
      </x:c>
      <x:c r="B208" s="12" t="n">
        <x:v>191.2</x:v>
      </x:c>
      <x:c r="C208" s="12" t="n">
        <x:f>B208-A208</x:f>
        <x:v>-12.800000000000011</x:v>
      </x:c>
      <x:c r="D208" s="11" t="str">
        <x:v>Nicholas Singleton</x:v>
      </x:c>
      <x:c r="E208" s="11" t="str">
        <x:v>RB</x:v>
      </x:c>
      <x:c r="F208" s="11" t="str">
        <x:v>TEN</x:v>
      </x:c>
      <x:c r="G208" s="13" t="n">
        <x:v>9</x:v>
      </x:c>
      <x:c r="H208" s="12" t="n">
        <x:v>98.8</x:v>
      </x:c>
      <x:c r="I208" s="12" t="n">
        <x:v>64</x:v>
      </x:c>
      <x:c r="J208" s="12" t="n">
        <x:v>34.8</x:v>
      </x:c>
      <x:c r="K208" s="12" t="n">
        <x:v>72.7</x:v>
      </x:c>
      <x:c r="L208" s="12" t="n">
        <x:v>9</x:v>
      </x:c>
      <x:c r="M208" s="12" t="n">
        <x:v>-55.5</x:v>
      </x:c>
      <x:c r="N208" s="11" t="str">
        <x:v>Low</x:v>
      </x:c>
      <x:c r="O208" s="13" t="n">
        <x:v>18</x:v>
      </x:c>
      <x:c r="P208" s="13" t="n">
        <x:v>30</x:v>
      </x:c>
      <x:c r="Q208" s="11"/>
      <x:c r="R208" s="11" t="str">
        <x:v>Rookie model: pick 165, age and destination-team environment; team pass volume #18, rush volume #30</x:v>
      </x:c>
    </x:row>
    <x:row r="209" ht="19" customHeight="1">
      <x:c r="A209" s="13" t="n">
        <x:v>205</x:v>
      </x:c>
      <x:c r="B209" s="12" t="n">
        <x:v>167.3</x:v>
      </x:c>
      <x:c r="C209" s="12" t="n">
        <x:f>B209-A209</x:f>
        <x:v>-37.69999999999999</x:v>
      </x:c>
      <x:c r="D209" s="11" t="str">
        <x:v>Jonah Coleman</x:v>
      </x:c>
      <x:c r="E209" s="11" t="str">
        <x:v>RB</x:v>
      </x:c>
      <x:c r="F209" s="11" t="str">
        <x:v>DEN</x:v>
      </x:c>
      <x:c r="G209" s="13" t="n">
        <x:v>10</x:v>
      </x:c>
      <x:c r="H209" s="12" t="n">
        <x:v>140.6</x:v>
      </x:c>
      <x:c r="I209" s="12" t="n">
        <x:v>64</x:v>
      </x:c>
      <x:c r="J209" s="12" t="n">
        <x:v>76.6</x:v>
      </x:c>
      <x:c r="K209" s="12" t="n">
        <x:v>83.1</x:v>
      </x:c>
      <x:c r="L209" s="12" t="n">
        <x:v>10</x:v>
      </x:c>
      <x:c r="M209" s="12" t="n">
        <x:v>-55.6</x:v>
      </x:c>
      <x:c r="N209" s="11" t="str">
        <x:v>Low</x:v>
      </x:c>
      <x:c r="O209" s="13" t="n">
        <x:v>6</x:v>
      </x:c>
      <x:c r="P209" s="13" t="n">
        <x:v>19</x:v>
      </x:c>
      <x:c r="Q209" s="11"/>
      <x:c r="R209" s="11" t="str">
        <x:v>Rookie model: pick 108, age and destination-team environment; team pass volume #6, rush volume #19</x:v>
      </x:c>
    </x:row>
    <x:row r="210" ht="19" customHeight="1">
      <x:c r="A210" s="13" t="n">
        <x:v>206</x:v>
      </x:c>
      <x:c r="B210" s="12" t="n">
        <x:v>240.9</x:v>
      </x:c>
      <x:c r="C210" s="12" t="n">
        <x:f>B210-A210</x:f>
        <x:v>34.900000000000006</x:v>
      </x:c>
      <x:c r="D210" s="11" t="str">
        <x:v>Chris Bell</x:v>
      </x:c>
      <x:c r="E210" s="11" t="str">
        <x:v>WR</x:v>
      </x:c>
      <x:c r="F210" s="11" t="str">
        <x:v>MIA</x:v>
      </x:c>
      <x:c r="G210" s="13" t="n">
        <x:v>6</x:v>
      </x:c>
      <x:c r="H210" s="12" t="n">
        <x:v>115.5</x:v>
      </x:c>
      <x:c r="I210" s="12" t="n">
        <x:v>67</x:v>
      </x:c>
      <x:c r="J210" s="12" t="n">
        <x:v>48.5</x:v>
      </x:c>
      <x:c r="K210" s="12" t="n">
        <x:v>79.1</x:v>
      </x:c>
      <x:c r="L210" s="12" t="n">
        <x:v>9.3</x:v>
      </x:c>
      <x:c r="M210" s="12" t="n">
        <x:v>-56.2</x:v>
      </x:c>
      <x:c r="N210" s="11" t="str">
        <x:v>Low</x:v>
      </x:c>
      <x:c r="O210" s="13" t="n">
        <x:v>25</x:v>
      </x:c>
      <x:c r="P210" s="13" t="n">
        <x:v>24</x:v>
      </x:c>
      <x:c r="Q210" s="11" t="str">
        <x:v>Ques</x:v>
      </x:c>
      <x:c r="R210" s="11" t="str">
        <x:v>Rookie model: pick 94, age and destination-team environment; team pass volume #25, rush volume #24</x:v>
      </x:c>
    </x:row>
    <x:row r="211" ht="19" customHeight="1">
      <x:c r="A211" s="13" t="n">
        <x:v>207</x:v>
      </x:c>
      <x:c r="B211" s="12" t="n">
        <x:v>195.6</x:v>
      </x:c>
      <x:c r="C211" s="12" t="n">
        <x:f>B211-A211</x:f>
        <x:v>-11.400000000000006</x:v>
      </x:c>
      <x:c r="D211" s="11" t="str">
        <x:v>Emmett Johnson</x:v>
      </x:c>
      <x:c r="E211" s="11" t="str">
        <x:v>RB</x:v>
      </x:c>
      <x:c r="F211" s="11" t="str">
        <x:v>KC</x:v>
      </x:c>
      <x:c r="G211" s="13" t="n">
        <x:v>5</x:v>
      </x:c>
      <x:c r="H211" s="12" t="n">
        <x:v>97.2</x:v>
      </x:c>
      <x:c r="I211" s="12" t="n">
        <x:v>65</x:v>
      </x:c>
      <x:c r="J211" s="12" t="n">
        <x:v>32.2</x:v>
      </x:c>
      <x:c r="K211" s="12" t="n">
        <x:v>73.1</x:v>
      </x:c>
      <x:c r="L211" s="12" t="n">
        <x:v>9.2</x:v>
      </x:c>
      <x:c r="M211" s="12" t="n">
        <x:v>-56.6</x:v>
      </x:c>
      <x:c r="N211" s="11" t="str">
        <x:v>Low</x:v>
      </x:c>
      <x:c r="O211" s="13" t="n">
        <x:v>5</x:v>
      </x:c>
      <x:c r="P211" s="13" t="n">
        <x:v>25</x:v>
      </x:c>
      <x:c r="Q211" s="11"/>
      <x:c r="R211" s="11" t="str">
        <x:v>Rookie model: pick 161, age and destination-team environment; team pass volume #5, rush volume #25</x:v>
      </x:c>
    </x:row>
    <x:row r="212" ht="19" customHeight="1">
      <x:c r="A212" s="13" t="n">
        <x:v>208</x:v>
      </x:c>
      <x:c r="B212" s="12" t="n">
        <x:v>211.9</x:v>
      </x:c>
      <x:c r="C212" s="12" t="n">
        <x:f>B212-A212</x:f>
        <x:v>3.9000000000000057</x:v>
      </x:c>
      <x:c r="D212" s="11" t="str">
        <x:v>Devin Neal</x:v>
      </x:c>
      <x:c r="E212" s="11" t="str">
        <x:v>RB</x:v>
      </x:c>
      <x:c r="F212" s="11" t="str">
        <x:v>NO</x:v>
      </x:c>
      <x:c r="G212" s="13" t="n">
        <x:v>8</x:v>
      </x:c>
      <x:c r="H212" s="12" t="n">
        <x:v>122.3</x:v>
      </x:c>
      <x:c r="I212" s="12" t="n">
        <x:v>32</x:v>
      </x:c>
      <x:c r="J212" s="12" t="n">
        <x:v>90.3</x:v>
      </x:c>
      <x:c r="K212" s="12" t="n">
        <x:v>77.2</x:v>
      </x:c>
      <x:c r="L212" s="12" t="n">
        <x:v>9.7</x:v>
      </x:c>
      <x:c r="M212" s="12" t="n">
        <x:v>-57.3</x:v>
      </x:c>
      <x:c r="N212" s="11" t="str">
        <x:v>Medium</x:v>
      </x:c>
      <x:c r="O212" s="13" t="n">
        <x:v>8</x:v>
      </x:c>
      <x:c r="P212" s="13" t="n">
        <x:v>22</x:v>
      </x:c>
      <x:c r="Q212" s="11"/>
      <x:c r="R212" s="11" t="str">
        <x:v>Veteran model: 2025 form, prior-year trend and same team pass/run forecast; team pass volume #8, rush volume #22</x:v>
      </x:c>
    </x:row>
    <x:row r="213" ht="19" customHeight="1">
      <x:c r="A213" s="13" t="n">
        <x:v>209</x:v>
      </x:c>
      <x:c r="B213" s="12" t="n">
        <x:v>218.7</x:v>
      </x:c>
      <x:c r="C213" s="12" t="n">
        <x:f>B213-A213</x:f>
        <x:v>9.699999999999989</x:v>
      </x:c>
      <x:c r="D213" s="11" t="str">
        <x:v>Antonio Williams</x:v>
      </x:c>
      <x:c r="E213" s="11" t="str">
        <x:v>WR</x:v>
      </x:c>
      <x:c r="F213" s="11" t="str">
        <x:v>WAS</x:v>
      </x:c>
      <x:c r="G213" s="13" t="n">
        <x:v>7</x:v>
      </x:c>
      <x:c r="H213" s="12" t="n">
        <x:v>112</x:v>
      </x:c>
      <x:c r="I213" s="12" t="n">
        <x:v>75</x:v>
      </x:c>
      <x:c r="J213" s="12" t="n">
        <x:v>37</x:v>
      </x:c>
      <x:c r="K213" s="12" t="n">
        <x:v>84.2</x:v>
      </x:c>
      <x:c r="L213" s="12" t="n">
        <x:v>10.2</x:v>
      </x:c>
      <x:c r="M213" s="12" t="n">
        <x:v>-58.6</x:v>
      </x:c>
      <x:c r="N213" s="11" t="str">
        <x:v>Low</x:v>
      </x:c>
      <x:c r="O213" s="13" t="n">
        <x:v>29</x:v>
      </x:c>
      <x:c r="P213" s="13" t="n">
        <x:v>8</x:v>
      </x:c>
      <x:c r="Q213" s="11"/>
      <x:c r="R213" s="11" t="str">
        <x:v>Rookie model: pick 71, age and destination-team environment; team pass volume #29, rush volume #8</x:v>
      </x:c>
    </x:row>
    <x:row r="214" ht="19" customHeight="1">
      <x:c r="A214" s="13" t="n">
        <x:v>210</x:v>
      </x:c>
      <x:c r="B214" s="12" t="n">
        <x:v>241.5</x:v>
      </x:c>
      <x:c r="C214" s="12" t="n">
        <x:f>B214-A214</x:f>
        <x:v>31.5</x:v>
      </x:c>
      <x:c r="D214" s="11" t="str">
        <x:v>Elic Ayomanor</x:v>
      </x:c>
      <x:c r="E214" s="11" t="str">
        <x:v>WR</x:v>
      </x:c>
      <x:c r="F214" s="11" t="str">
        <x:v>TEN</x:v>
      </x:c>
      <x:c r="G214" s="13" t="n">
        <x:v>9</x:v>
      </x:c>
      <x:c r="H214" s="12" t="n">
        <x:v>140.4</x:v>
      </x:c>
      <x:c r="I214" s="12" t="n">
        <x:v>57</x:v>
      </x:c>
      <x:c r="J214" s="12" t="n">
        <x:v>83.4</x:v>
      </x:c>
      <x:c r="K214" s="12" t="n">
        <x:v>98.7</x:v>
      </x:c>
      <x:c r="L214" s="12" t="n">
        <x:v>12</x:v>
      </x:c>
      <x:c r="M214" s="12" t="n">
        <x:v>-58.7</x:v>
      </x:c>
      <x:c r="N214" s="11" t="str">
        <x:v>Medium</x:v>
      </x:c>
      <x:c r="O214" s="13" t="n">
        <x:v>18</x:v>
      </x:c>
      <x:c r="P214" s="13" t="n">
        <x:v>30</x:v>
      </x:c>
      <x:c r="Q214" s="11"/>
      <x:c r="R214" s="11" t="str">
        <x:v>Veteran model: 2025 form, prior-year trend and same team pass/run forecast; team pass volume #18, rush volume #30</x:v>
      </x:c>
    </x:row>
    <x:row r="215" ht="19" customHeight="1">
      <x:c r="A215" s="13" t="n">
        <x:v>211</x:v>
      </x:c>
      <x:c r="B215" s="12" t="n">
        <x:v>186.6</x:v>
      </x:c>
      <x:c r="C215" s="12" t="n">
        <x:f>B215-A215</x:f>
        <x:v>-24.400000000000006</x:v>
      </x:c>
      <x:c r="D215" s="11" t="str">
        <x:v>Isiah Pacheco</x:v>
      </x:c>
      <x:c r="E215" s="11" t="str">
        <x:v>RB</x:v>
      </x:c>
      <x:c r="F215" s="11" t="str">
        <x:v>DET</x:v>
      </x:c>
      <x:c r="G215" s="13" t="n">
        <x:v>6</x:v>
      </x:c>
      <x:c r="H215" s="12" t="n">
        <x:v>104.2</x:v>
      </x:c>
      <x:c r="I215" s="12" t="n">
        <x:v>54</x:v>
      </x:c>
      <x:c r="J215" s="12" t="n">
        <x:v>50.2</x:v>
      </x:c>
      <x:c r="K215" s="12" t="n">
        <x:v>86.6</x:v>
      </x:c>
      <x:c r="L215" s="12" t="n">
        <x:v>11.1</x:v>
      </x:c>
      <x:c r="M215" s="12" t="n">
        <x:v>-59.4</x:v>
      </x:c>
      <x:c r="N215" s="11" t="str">
        <x:v>High</x:v>
      </x:c>
      <x:c r="O215" s="13" t="n">
        <x:v>10</x:v>
      </x:c>
      <x:c r="P215" s="13" t="n">
        <x:v>7</x:v>
      </x:c>
      <x:c r="Q215" s="11" t="str">
        <x:v>Ques</x:v>
      </x:c>
      <x:c r="R215" s="11" t="str">
        <x:v>Veteran model: 2025 form, prior-year trend and new team pass/run forecast; team pass volume #10, rush volume #7</x:v>
      </x:c>
    </x:row>
    <x:row r="216" ht="19" customHeight="1">
      <x:c r="A216" s="13" t="n">
        <x:v>212</x:v>
      </x:c>
      <x:c r="B216" s="12" t="n">
        <x:v>212.4</x:v>
      </x:c>
      <x:c r="C216" s="12" t="n">
        <x:f>B216-A216</x:f>
        <x:v>0.4000000000000057</x:v>
      </x:c>
      <x:c r="D216" s="11" t="str">
        <x:v>Isaac TeSlaa</x:v>
      </x:c>
      <x:c r="E216" s="11" t="str">
        <x:v>WR</x:v>
      </x:c>
      <x:c r="F216" s="11" t="str">
        <x:v>DET</x:v>
      </x:c>
      <x:c r="G216" s="13" t="n">
        <x:v>6</x:v>
      </x:c>
      <x:c r="H216" s="12" t="n">
        <x:v>98.3</x:v>
      </x:c>
      <x:c r="I216" s="12" t="n">
        <x:v>87</x:v>
      </x:c>
      <x:c r="J216" s="12" t="n">
        <x:v>11.3</x:v>
      </x:c>
      <x:c r="K216" s="12" t="n">
        <x:v>92.7</x:v>
      </x:c>
      <x:c r="L216" s="12" t="n">
        <x:v>11.4</x:v>
      </x:c>
      <x:c r="M216" s="12" t="n">
        <x:v>-59.7</x:v>
      </x:c>
      <x:c r="N216" s="11" t="str">
        <x:v>Medium</x:v>
      </x:c>
      <x:c r="O216" s="13" t="n">
        <x:v>10</x:v>
      </x:c>
      <x:c r="P216" s="13" t="n">
        <x:v>7</x:v>
      </x:c>
      <x:c r="Q216" s="11"/>
      <x:c r="R216" s="11" t="str">
        <x:v>Veteran model: 2025 form, prior-year trend and same team pass/run forecast; team pass volume #10, rush volume #7</x:v>
      </x:c>
    </x:row>
    <x:row r="217" ht="19" customHeight="1">
      <x:c r="A217" s="13" t="n">
        <x:v>213</x:v>
      </x:c>
      <x:c r="B217" s="12" t="n">
        <x:v>181.2</x:v>
      </x:c>
      <x:c r="C217" s="12" t="n">
        <x:f>B217-A217</x:f>
        <x:v>-31.80000000000001</x:v>
      </x:c>
      <x:c r="D217" s="11" t="str">
        <x:v>Tank Bigsby</x:v>
      </x:c>
      <x:c r="E217" s="11" t="str">
        <x:v>RB</x:v>
      </x:c>
      <x:c r="F217" s="11" t="str">
        <x:v>PHI</x:v>
      </x:c>
      <x:c r="G217" s="13" t="n">
        <x:v>10</x:v>
      </x:c>
      <x:c r="H217" s="12" t="n">
        <x:v>102.7</x:v>
      </x:c>
      <x:c r="I217" s="12" t="n">
        <x:v>65</x:v>
      </x:c>
      <x:c r="J217" s="12" t="n">
        <x:v>37.7</x:v>
      </x:c>
      <x:c r="K217" s="12" t="n">
        <x:v>89.5</x:v>
      </x:c>
      <x:c r="L217" s="12" t="n">
        <x:v>11.6</x:v>
      </x:c>
      <x:c r="M217" s="12" t="n">
        <x:v>-60.1</x:v>
      </x:c>
      <x:c r="N217" s="11" t="str">
        <x:v>High</x:v>
      </x:c>
      <x:c r="O217" s="13" t="n">
        <x:v>31</x:v>
      </x:c>
      <x:c r="P217" s="13" t="n">
        <x:v>2</x:v>
      </x:c>
      <x:c r="Q217" s="11"/>
      <x:c r="R217" s="11" t="str">
        <x:v>Veteran model: 2025 form, prior-year trend and same team pass/run forecast; team pass volume #31, rush volume #2</x:v>
      </x:c>
    </x:row>
    <x:row r="218" ht="19" customHeight="1">
      <x:c r="A218" s="13" t="n">
        <x:v>214</x:v>
      </x:c>
      <x:c r="B218" s="12" t="n">
        <x:v>219.5</x:v>
      </x:c>
      <x:c r="C218" s="12" t="n">
        <x:f>B218-A218</x:f>
        <x:v>5.5</x:v>
      </x:c>
      <x:c r="D218" s="11" t="str">
        <x:v>Marvin Mims</x:v>
      </x:c>
      <x:c r="E218" s="11" t="str">
        <x:v>WR</x:v>
      </x:c>
      <x:c r="F218" s="11" t="str">
        <x:v>DEN</x:v>
      </x:c>
      <x:c r="G218" s="13" t="n">
        <x:v>10</x:v>
      </x:c>
      <x:c r="H218" s="12" t="n">
        <x:v>112.4</x:v>
      </x:c>
      <x:c r="I218" s="12" t="n">
        <x:v>70</x:v>
      </x:c>
      <x:c r="J218" s="12" t="n">
        <x:v>42.4</x:v>
      </x:c>
      <x:c r="K218" s="12" t="n">
        <x:v>97.6</x:v>
      </x:c>
      <x:c r="L218" s="12" t="n">
        <x:v>12.2</x:v>
      </x:c>
      <x:c r="M218" s="12" t="n">
        <x:v>-60.4</x:v>
      </x:c>
      <x:c r="N218" s="11" t="str">
        <x:v>High</x:v>
      </x:c>
      <x:c r="O218" s="13" t="n">
        <x:v>6</x:v>
      </x:c>
      <x:c r="P218" s="13" t="n">
        <x:v>19</x:v>
      </x:c>
      <x:c r="Q218" s="11" t="str">
        <x:v>Ques</x:v>
      </x:c>
      <x:c r="R218" s="11" t="str">
        <x:v>Veteran model: 2025 form, prior-year trend and same team pass/run forecast; team pass volume #6, rush volume #19</x:v>
      </x:c>
    </x:row>
    <x:row r="219" ht="19" customHeight="1">
      <x:c r="A219" s="13" t="n">
        <x:v>215</x:v>
      </x:c>
      <x:c r="B219" s="12" t="n">
        <x:v>217.5</x:v>
      </x:c>
      <x:c r="C219" s="12" t="n">
        <x:f>B219-A219</x:f>
        <x:v>2.5</x:v>
      </x:c>
      <x:c r="D219" s="11" t="str">
        <x:v>Kaleb Johnson</x:v>
      </x:c>
      <x:c r="E219" s="11" t="str">
        <x:v>RB</x:v>
      </x:c>
      <x:c r="F219" s="11" t="str">
        <x:v>PIT</x:v>
      </x:c>
      <x:c r="G219" s="13" t="n">
        <x:v>9</x:v>
      </x:c>
      <x:c r="H219" s="12" t="n">
        <x:v>89.4</x:v>
      </x:c>
      <x:c r="I219" s="12" t="n">
        <x:v>32</x:v>
      </x:c>
      <x:c r="J219" s="12" t="n">
        <x:v>57.4</x:v>
      </x:c>
      <x:c r="K219" s="12" t="n">
        <x:v>60.7</x:v>
      </x:c>
      <x:c r="L219" s="12" t="n">
        <x:v>8.8</x:v>
      </x:c>
      <x:c r="M219" s="12" t="n">
        <x:v>-60.5</x:v>
      </x:c>
      <x:c r="N219" s="11" t="str">
        <x:v>Medium</x:v>
      </x:c>
      <x:c r="O219" s="13" t="n">
        <x:v>24</x:v>
      </x:c>
      <x:c r="P219" s="13" t="n">
        <x:v>18</x:v>
      </x:c>
      <x:c r="Q219" s="11"/>
      <x:c r="R219" s="11" t="str">
        <x:v>Veteran model: 2025 form, prior-year trend and same team pass/run forecast; team pass volume #24, rush volume #18</x:v>
      </x:c>
    </x:row>
    <x:row r="220" ht="19" customHeight="1">
      <x:c r="A220" s="13" t="n">
        <x:v>216</x:v>
      </x:c>
      <x:c r="B220" s="12" t="n">
        <x:v>146.1</x:v>
      </x:c>
      <x:c r="C220" s="12" t="n">
        <x:f>B220-A220</x:f>
        <x:v>-69.9</x:v>
      </x:c>
      <x:c r="D220" s="11" t="str">
        <x:v>Tyler Allgeier</x:v>
      </x:c>
      <x:c r="E220" s="11" t="str">
        <x:v>RB</x:v>
      </x:c>
      <x:c r="F220" s="11" t="str">
        <x:v>ARI</x:v>
      </x:c>
      <x:c r="G220" s="13" t="n">
        <x:v>14</x:v>
      </x:c>
      <x:c r="H220" s="12" t="n">
        <x:v>102.7</x:v>
      </x:c>
      <x:c r="I220" s="12" t="n">
        <x:v>69</x:v>
      </x:c>
      <x:c r="J220" s="12" t="n">
        <x:v>33.7</x:v>
      </x:c>
      <x:c r="K220" s="12" t="n">
        <x:v>90.9</x:v>
      </x:c>
      <x:c r="L220" s="12" t="n">
        <x:v>11.9</x:v>
      </x:c>
      <x:c r="M220" s="12" t="n">
        <x:v>-60.7</x:v>
      </x:c>
      <x:c r="N220" s="11" t="str">
        <x:v>High</x:v>
      </x:c>
      <x:c r="O220" s="13" t="n">
        <x:v>3</x:v>
      </x:c>
      <x:c r="P220" s="13" t="n">
        <x:v>29</x:v>
      </x:c>
      <x:c r="Q220" s="11"/>
      <x:c r="R220" s="11" t="str">
        <x:v>Veteran model: 2025 form, prior-year trend and new team pass/run forecast; team pass volume #3, rush volume #29</x:v>
      </x:c>
    </x:row>
    <x:row r="221" ht="19" customHeight="1">
      <x:c r="A221" s="13" t="n">
        <x:v>217</x:v>
      </x:c>
      <x:c r="B221" s="12" t="n">
        <x:v>229.2</x:v>
      </x:c>
      <x:c r="C221" s="12" t="n">
        <x:f>B221-A221</x:f>
        <x:v>12.199999999999989</x:v>
      </x:c>
      <x:c r="D221" s="11" t="str">
        <x:v>Elijah Sarratt</x:v>
      </x:c>
      <x:c r="E221" s="11" t="str">
        <x:v>WR</x:v>
      </x:c>
      <x:c r="F221" s="11" t="str">
        <x:v>BAL</x:v>
      </x:c>
      <x:c r="G221" s="13" t="n">
        <x:v>13</x:v>
      </x:c>
      <x:c r="H221" s="12" t="n">
        <x:v>79.8</x:v>
      </x:c>
      <x:c r="I221" s="12" t="n">
        <x:v>61</x:v>
      </x:c>
      <x:c r="J221" s="12" t="n">
        <x:v>18.8</x:v>
      </x:c>
      <x:c r="K221" s="12" t="n">
        <x:v>65.7</x:v>
      </x:c>
      <x:c r="L221" s="12" t="n">
        <x:v>9</x:v>
      </x:c>
      <x:c r="M221" s="12" t="n">
        <x:v>-61.5</x:v>
      </x:c>
      <x:c r="N221" s="11" t="str">
        <x:v>Low</x:v>
      </x:c>
      <x:c r="O221" s="13" t="n">
        <x:v>32</x:v>
      </x:c>
      <x:c r="P221" s="13" t="n">
        <x:v>1</x:v>
      </x:c>
      <x:c r="Q221" s="11"/>
      <x:c r="R221" s="11" t="str">
        <x:v>Rookie model: pick 115, age and destination-team environment; team pass volume #32, rush volume #1</x:v>
      </x:c>
    </x:row>
    <x:row r="222" ht="19" customHeight="1">
      <x:c r="A222" s="13" t="n">
        <x:v>218</x:v>
      </x:c>
      <x:c r="B222" s="12" t="n">
        <x:v>236.1</x:v>
      </x:c>
      <x:c r="C222" s="12" t="n">
        <x:f>B222-A222</x:f>
        <x:v>18.099999999999994</x:v>
      </x:c>
      <x:c r="D222" s="11" t="str">
        <x:v>Shedeur Sanders</x:v>
      </x:c>
      <x:c r="E222" s="11" t="str">
        <x:v>QB</x:v>
      </x:c>
      <x:c r="F222" s="11" t="str">
        <x:v>CLE</x:v>
      </x:c>
      <x:c r="G222" s="13" t="n">
        <x:v>11</x:v>
      </x:c>
      <x:c r="H222" s="12" t="n">
        <x:v>183.2</x:v>
      </x:c>
      <x:c r="I222" s="12" t="n">
        <x:v>97</x:v>
      </x:c>
      <x:c r="J222" s="12" t="n">
        <x:v>86.2</x:v>
      </x:c>
      <x:c r="K222" s="12" t="n">
        <x:v>140.1</x:v>
      </x:c>
      <x:c r="L222" s="12" t="n">
        <x:v>7.2</x:v>
      </x:c>
      <x:c r="M222" s="12" t="n">
        <x:v>-61.9</x:v>
      </x:c>
      <x:c r="N222" s="11" t="str">
        <x:v>Medium</x:v>
      </x:c>
      <x:c r="O222" s="13" t="n">
        <x:v>4</x:v>
      </x:c>
      <x:c r="P222" s="13" t="n">
        <x:v>26</x:v>
      </x:c>
      <x:c r="Q222" s="11"/>
      <x:c r="R222" s="11" t="str">
        <x:v>Veteran model: 2025 form, prior-year trend and same team pass/run forecast; team pass volume #4, rush volume #26</x:v>
      </x:c>
    </x:row>
    <x:row r="223" ht="19" customHeight="1">
      <x:c r="A223" s="13" t="n">
        <x:v>219</x:v>
      </x:c>
      <x:c r="B223" s="12" t="n">
        <x:v>180.4</x:v>
      </x:c>
      <x:c r="C223" s="12" t="n">
        <x:f>B223-A223</x:f>
        <x:v>-38.599999999999994</x:v>
      </x:c>
      <x:c r="D223" s="11" t="str">
        <x:v>Keaton Mitchell</x:v>
      </x:c>
      <x:c r="E223" s="11" t="str">
        <x:v>RB</x:v>
      </x:c>
      <x:c r="F223" s="11" t="str">
        <x:v>LAC</x:v>
      </x:c>
      <x:c r="G223" s="13" t="n">
        <x:v>7</x:v>
      </x:c>
      <x:c r="H223" s="12" t="n">
        <x:v>70.1</x:v>
      </x:c>
      <x:c r="I223" s="12" t="n">
        <x:v>97</x:v>
      </x:c>
      <x:c r="J223" s="12" t="n">
        <x:v>-26.9</x:v>
      </x:c>
      <x:c r="K223" s="12" t="n">
        <x:v>79.5</x:v>
      </x:c>
      <x:c r="L223" s="12" t="n">
        <x:v>10.8</x:v>
      </x:c>
      <x:c r="M223" s="12" t="n">
        <x:v>-62.3</x:v>
      </x:c>
      <x:c r="N223" s="11" t="str">
        <x:v>High</x:v>
      </x:c>
      <x:c r="O223" s="13" t="n">
        <x:v>14</x:v>
      </x:c>
      <x:c r="P223" s="13" t="n">
        <x:v>16</x:v>
      </x:c>
      <x:c r="Q223" s="11"/>
      <x:c r="R223" s="11" t="str">
        <x:v>Veteran model: 2025 form, prior-year trend and new team pass/run forecast; team pass volume #14, rush volume #16</x:v>
      </x:c>
    </x:row>
    <x:row r="224" ht="19" customHeight="1">
      <x:c r="A224" s="13" t="n">
        <x:v>220</x:v>
      </x:c>
      <x:c r="B224" s="12" t="n">
        <x:v>224.8</x:v>
      </x:c>
      <x:c r="C224" s="12" t="n">
        <x:f>B224-A224</x:f>
        <x:v>4.800000000000011</x:v>
      </x:c>
      <x:c r="D224" s="11" t="str">
        <x:v>Kendre Miller</x:v>
      </x:c>
      <x:c r="E224" s="11" t="str">
        <x:v>RB</x:v>
      </x:c>
      <x:c r="F224" s="11" t="str">
        <x:v>NO</x:v>
      </x:c>
      <x:c r="G224" s="13" t="n">
        <x:v>8</x:v>
      </x:c>
      <x:c r="H224" s="12" t="n">
        <x:v>104.6</x:v>
      </x:c>
      <x:c r="I224" s="12" t="n">
        <x:v>6</x:v>
      </x:c>
      <x:c r="J224" s="12" t="n">
        <x:v>98.6</x:v>
      </x:c>
      <x:c r="K224" s="12" t="n">
        <x:v>55.3</x:v>
      </x:c>
      <x:c r="L224" s="12" t="n">
        <x:v>8.7</x:v>
      </x:c>
      <x:c r="M224" s="12" t="n">
        <x:v>-62.6</x:v>
      </x:c>
      <x:c r="N224" s="11" t="str">
        <x:v>Medium</x:v>
      </x:c>
      <x:c r="O224" s="13" t="n">
        <x:v>8</x:v>
      </x:c>
      <x:c r="P224" s="13" t="n">
        <x:v>22</x:v>
      </x:c>
      <x:c r="Q224" s="11"/>
      <x:c r="R224" s="11" t="str">
        <x:v>Veteran model: 2025 form, prior-year trend and same team pass/run forecast; team pass volume #8, rush volume #22</x:v>
      </x:c>
    </x:row>
    <x:row r="225" ht="19" customHeight="1">
      <x:c r="A225" s="13" t="n">
        <x:v>221</x:v>
      </x:c>
      <x:c r="B225" s="12" t="n">
        <x:v>241.7</x:v>
      </x:c>
      <x:c r="C225" s="12" t="n">
        <x:f>B225-A225</x:f>
        <x:v>20.69999999999999</x:v>
      </x:c>
      <x:c r="D225" s="11" t="str">
        <x:v>Christian Kirk</x:v>
      </x:c>
      <x:c r="E225" s="11" t="str">
        <x:v>WR</x:v>
      </x:c>
      <x:c r="F225" s="11" t="str">
        <x:v>SF</x:v>
      </x:c>
      <x:c r="G225" s="13" t="n">
        <x:v>8</x:v>
      </x:c>
      <x:c r="H225" s="12" t="n">
        <x:v>81.3</x:v>
      </x:c>
      <x:c r="I225" s="12" t="n">
        <x:v>46</x:v>
      </x:c>
      <x:c r="J225" s="12" t="n">
        <x:v>35.3</x:v>
      </x:c>
      <x:c r="K225" s="12" t="n">
        <x:v>63.7</x:v>
      </x:c>
      <x:c r="L225" s="12" t="n">
        <x:v>9.1</x:v>
      </x:c>
      <x:c r="M225" s="12" t="n">
        <x:v>-63.2</x:v>
      </x:c>
      <x:c r="N225" s="11" t="str">
        <x:v>Medium</x:v>
      </x:c>
      <x:c r="O225" s="13" t="n">
        <x:v>16</x:v>
      </x:c>
      <x:c r="P225" s="13" t="n">
        <x:v>9</x:v>
      </x:c>
      <x:c r="Q225" s="11" t="str">
        <x:v>Ques</x:v>
      </x:c>
      <x:c r="R225" s="11" t="str">
        <x:v>Veteran model: 2025 form, prior-year trend and new team pass/run forecast; team pass volume #16, rush volume #9</x:v>
      </x:c>
    </x:row>
    <x:row r="226" ht="19" customHeight="1">
      <x:c r="A226" s="13" t="n">
        <x:v>222</x:v>
      </x:c>
      <x:c r="B226" s="12" t="n">
        <x:v>242</x:v>
      </x:c>
      <x:c r="C226" s="12" t="n">
        <x:f>B226-A226</x:f>
        <x:v>20</x:v>
      </x:c>
      <x:c r="D226" s="11" t="str">
        <x:v>Demond Claiborne</x:v>
      </x:c>
      <x:c r="E226" s="11" t="str">
        <x:v>RB</x:v>
      </x:c>
      <x:c r="F226" s="11" t="str">
        <x:v>MIN</x:v>
      </x:c>
      <x:c r="G226" s="13" t="n">
        <x:v>6</x:v>
      </x:c>
      <x:c r="H226" s="12" t="n">
        <x:v>82</x:v>
      </x:c>
      <x:c r="I226" s="12" t="n">
        <x:v>25</x:v>
      </x:c>
      <x:c r="J226" s="12" t="n">
        <x:v>57</x:v>
      </x:c>
      <x:c r="K226" s="12" t="n">
        <x:v>39.2</x:v>
      </x:c>
      <x:c r="L226" s="12" t="n">
        <x:v>7.8</x:v>
      </x:c>
      <x:c r="M226" s="12" t="n">
        <x:v>-63.5</x:v>
      </x:c>
      <x:c r="N226" s="11" t="str">
        <x:v>Low</x:v>
      </x:c>
      <x:c r="O226" s="13" t="n">
        <x:v>26</x:v>
      </x:c>
      <x:c r="P226" s="13" t="n">
        <x:v>27</x:v>
      </x:c>
      <x:c r="Q226" s="11"/>
      <x:c r="R226" s="11" t="str">
        <x:v>Rookie model: pick 198, age and destination-team environment; team pass volume #26, rush volume #27</x:v>
      </x:c>
    </x:row>
    <x:row r="227" ht="19" customHeight="1">
      <x:c r="A227" s="13" t="n">
        <x:v>223</x:v>
      </x:c>
      <x:c r="B227" s="12" t="n">
        <x:v>150.1</x:v>
      </x:c>
      <x:c r="C227" s="12" t="n">
        <x:f>B227-A227</x:f>
        <x:v>-72.9</x:v>
      </x:c>
      <x:c r="D227" s="11" t="str">
        <x:v>Brian Robinson</x:v>
      </x:c>
      <x:c r="E227" s="11" t="str">
        <x:v>RB</x:v>
      </x:c>
      <x:c r="F227" s="11" t="str">
        <x:v>ATL</x:v>
      </x:c>
      <x:c r="G227" s="13" t="n">
        <x:v>11</x:v>
      </x:c>
      <x:c r="H227" s="12" t="n">
        <x:v>91.4</x:v>
      </x:c>
      <x:c r="I227" s="12" t="n">
        <x:v>70</x:v>
      </x:c>
      <x:c r="J227" s="12" t="n">
        <x:v>21.4</x:v>
      </x:c>
      <x:c r="K227" s="12" t="n">
        <x:v>83.9</x:v>
      </x:c>
      <x:c r="L227" s="12" t="n">
        <x:v>11.7</x:v>
      </x:c>
      <x:c r="M227" s="12" t="n">
        <x:v>-64.5</x:v>
      </x:c>
      <x:c r="N227" s="11" t="str">
        <x:v>High</x:v>
      </x:c>
      <x:c r="O227" s="13" t="n">
        <x:v>17</x:v>
      </x:c>
      <x:c r="P227" s="13" t="n">
        <x:v>5</x:v>
      </x:c>
      <x:c r="Q227" s="11"/>
      <x:c r="R227" s="11" t="str">
        <x:v>Veteran model: 2025 form, prior-year trend and new team pass/run forecast; team pass volume #17, rush volume #5</x:v>
      </x:c>
    </x:row>
    <x:row r="228" ht="19" customHeight="1">
      <x:c r="A228" s="13" t="n">
        <x:v>224</x:v>
      </x:c>
      <x:c r="B228" s="12" t="n">
        <x:v>240.6</x:v>
      </x:c>
      <x:c r="C228" s="12" t="n">
        <x:f>B228-A228</x:f>
        <x:v>16.599999999999994</x:v>
      </x:c>
      <x:c r="D228" s="11" t="str">
        <x:v>Kaytron Allen</x:v>
      </x:c>
      <x:c r="E228" s="11" t="str">
        <x:v>RB</x:v>
      </x:c>
      <x:c r="F228" s="11" t="str">
        <x:v>WAS</x:v>
      </x:c>
      <x:c r="G228" s="13" t="n">
        <x:v>7</x:v>
      </x:c>
      <x:c r="H228" s="12" t="n">
        <x:v>78.4</x:v>
      </x:c>
      <x:c r="I228" s="12" t="n">
        <x:v>46</x:v>
      </x:c>
      <x:c r="J228" s="12" t="n">
        <x:v>32.4</x:v>
      </x:c>
      <x:c r="K228" s="12" t="n">
        <x:v>54.1</x:v>
      </x:c>
      <x:c r="L228" s="12" t="n">
        <x:v>8.9</x:v>
      </x:c>
      <x:c r="M228" s="12" t="n">
        <x:v>-64.7</x:v>
      </x:c>
      <x:c r="N228" s="11" t="str">
        <x:v>Low</x:v>
      </x:c>
      <x:c r="O228" s="13" t="n">
        <x:v>29</x:v>
      </x:c>
      <x:c r="P228" s="13" t="n">
        <x:v>8</x:v>
      </x:c>
      <x:c r="Q228" s="11"/>
      <x:c r="R228" s="11" t="str">
        <x:v>Rookie model: pick 187, age and destination-team environment; team pass volume #29, rush volume #8</x:v>
      </x:c>
    </x:row>
    <x:row r="229" ht="19" customHeight="1">
      <x:c r="A229" s="13" t="n">
        <x:v>225</x:v>
      </x:c>
      <x:c r="B229" s="12" t="n">
        <x:v>212.3</x:v>
      </x:c>
      <x:c r="C229" s="12" t="n">
        <x:f>B229-A229</x:f>
        <x:v>-12.699999999999989</x:v>
      </x:c>
      <x:c r="D229" s="11" t="str">
        <x:v>Najee Harris</x:v>
      </x:c>
      <x:c r="E229" s="11" t="str">
        <x:v>RB</x:v>
      </x:c>
      <x:c r="F229" s="11" t="str">
        <x:v>NYG</x:v>
      </x:c>
      <x:c r="G229" s="13" t="n">
        <x:v>8</x:v>
      </x:c>
      <x:c r="H229" s="12" t="n">
        <x:v>95.3</x:v>
      </x:c>
      <x:c r="I229" s="12" t="n">
        <x:v>26</x:v>
      </x:c>
      <x:c r="J229" s="12" t="n">
        <x:v>69.3</x:v>
      </x:c>
      <x:c r="K229" s="12" t="n">
        <x:v>43.3</x:v>
      </x:c>
      <x:c r="L229" s="12" t="n">
        <x:v>8.6</x:v>
      </x:c>
      <x:c r="M229" s="12" t="n">
        <x:v>-67.9</x:v>
      </x:c>
      <x:c r="N229" s="11" t="str">
        <x:v>Low</x:v>
      </x:c>
      <x:c r="O229" s="13" t="n">
        <x:v>19</x:v>
      </x:c>
      <x:c r="P229" s="13" t="n">
        <x:v>10</x:v>
      </x:c>
      <x:c r="Q229" s="11"/>
      <x:c r="R229" s="11" t="str">
        <x:v>Veteran model: 2025 form, prior-year trend and new team pass/run forecast; team pass volume #19, rush volume #10</x:v>
      </x:c>
    </x:row>
    <x:row r="230" ht="19" customHeight="1">
      <x:c r="A230" s="13" t="n">
        <x:v>226</x:v>
      </x:c>
      <x:c r="B230" s="12" t="n">
        <x:v>233.3</x:v>
      </x:c>
      <x:c r="C230" s="12" t="n">
        <x:f>B230-A230</x:f>
        <x:v>7.300000000000011</x:v>
      </x:c>
      <x:c r="D230" s="11" t="str">
        <x:v>Ray Davis</x:v>
      </x:c>
      <x:c r="E230" s="11" t="str">
        <x:v>RB</x:v>
      </x:c>
      <x:c r="F230" s="11" t="str">
        <x:v>BUF</x:v>
      </x:c>
      <x:c r="G230" s="13" t="n">
        <x:v>7</x:v>
      </x:c>
      <x:c r="H230" s="12" t="n">
        <x:v>91.4</x:v>
      </x:c>
      <x:c r="I230" s="12" t="n">
        <x:v>65</x:v>
      </x:c>
      <x:c r="J230" s="12" t="n">
        <x:v>26.4</x:v>
      </x:c>
      <x:c r="K230" s="12" t="n">
        <x:v>82.1</x:v>
      </x:c>
      <x:c r="L230" s="12" t="n">
        <x:v>12.1</x:v>
      </x:c>
      <x:c r="M230" s="12" t="n">
        <x:v>-68</x:v>
      </x:c>
      <x:c r="N230" s="11" t="str">
        <x:v>High</x:v>
      </x:c>
      <x:c r="O230" s="13" t="n">
        <x:v>28</x:v>
      </x:c>
      <x:c r="P230" s="13" t="n">
        <x:v>3</x:v>
      </x:c>
      <x:c r="Q230" s="11"/>
      <x:c r="R230" s="11" t="str">
        <x:v>Veteran model: 2025 form, prior-year trend and same team pass/run forecast; team pass volume #28, rush volume #3</x:v>
      </x:c>
    </x:row>
    <x:row r="231" ht="19" customHeight="1">
      <x:c r="A231" s="13" t="n">
        <x:v>227</x:v>
      </x:c>
      <x:c r="B231" s="12" t="n">
        <x:v>237.4</x:v>
      </x:c>
      <x:c r="C231" s="12" t="n">
        <x:f>B231-A231</x:f>
        <x:v>10.400000000000006</x:v>
      </x:c>
      <x:c r="D231" s="11" t="str">
        <x:v>Audric Estime</x:v>
      </x:c>
      <x:c r="E231" s="11" t="str">
        <x:v>RB</x:v>
      </x:c>
      <x:c r="F231" s="11" t="str">
        <x:v>NO</x:v>
      </x:c>
      <x:c r="G231" s="13" t="n">
        <x:v>8</x:v>
      </x:c>
      <x:c r="H231" s="12" t="n">
        <x:v>147.5</x:v>
      </x:c>
      <x:c r="I231" s="12" t="n">
        <x:v>23</x:v>
      </x:c>
      <x:c r="J231" s="12" t="n">
        <x:v>124.5</x:v>
      </x:c>
      <x:c r="K231" s="12" t="n">
        <x:v>54.1</x:v>
      </x:c>
      <x:c r="L231" s="12" t="n">
        <x:v>9.8</x:v>
      </x:c>
      <x:c r="M231" s="12" t="n">
        <x:v>-71.2</x:v>
      </x:c>
      <x:c r="N231" s="11" t="str">
        <x:v>Low</x:v>
      </x:c>
      <x:c r="O231" s="13" t="n">
        <x:v>8</x:v>
      </x:c>
      <x:c r="P231" s="13" t="n">
        <x:v>22</x:v>
      </x:c>
      <x:c r="Q231" s="11" t="str">
        <x:v>Ques</x:v>
      </x:c>
      <x:c r="R231" s="11" t="str">
        <x:v>Veteran model: 2025 form, prior-year trend and same team pass/run forecast; team pass volume #8, rush volume #22</x:v>
      </x:c>
    </x:row>
    <x:row r="232" ht="19" customHeight="1">
      <x:c r="A232" s="13" t="n">
        <x:v>228</x:v>
      </x:c>
      <x:c r="B232" s="12" t="n">
        <x:v>236.5</x:v>
      </x:c>
      <x:c r="C232" s="12" t="n">
        <x:f>B232-A232</x:f>
        <x:v>8.5</x:v>
      </x:c>
      <x:c r="D232" s="11" t="str">
        <x:v>Tua Tagovailoa</x:v>
      </x:c>
      <x:c r="E232" s="11" t="str">
        <x:v>QB</x:v>
      </x:c>
      <x:c r="F232" s="11" t="str">
        <x:v>ATL</x:v>
      </x:c>
      <x:c r="G232" s="13" t="n">
        <x:v>11</x:v>
      </x:c>
      <x:c r="H232" s="12" t="n">
        <x:v>203.1</x:v>
      </x:c>
      <x:c r="I232" s="12" t="n">
        <x:v>138</x:v>
      </x:c>
      <x:c r="J232" s="12" t="n">
        <x:v>65.1</x:v>
      </x:c>
      <x:c r="K232" s="12" t="n">
        <x:v>180.3</x:v>
      </x:c>
      <x:c r="L232" s="12" t="n">
        <x:v>11.5</x:v>
      </x:c>
      <x:c r="M232" s="12" t="n">
        <x:v>-71.6</x:v>
      </x:c>
      <x:c r="N232" s="11" t="str">
        <x:v>High</x:v>
      </x:c>
      <x:c r="O232" s="13" t="n">
        <x:v>17</x:v>
      </x:c>
      <x:c r="P232" s="13" t="n">
        <x:v>5</x:v>
      </x:c>
      <x:c r="Q232" s="11"/>
      <x:c r="R232" s="11" t="str">
        <x:v>Veteran model: 2025 form, prior-year trend and new team pass/run forecast; team pass volume #17, rush volume #5</x:v>
      </x:c>
    </x:row>
    <x:row r="233" ht="19" customHeight="1">
      <x:c r="A233" s="13" t="n">
        <x:v>229</x:v>
      </x:c>
      <x:c r="B233" s="12" t="n">
        <x:v>226.3</x:v>
      </x:c>
      <x:c r="C233" s="12" t="n">
        <x:f>B233-A233</x:f>
        <x:v>-2.6999999999999886</x:v>
      </x:c>
      <x:c r="D233" s="11" t="str">
        <x:v>Brashard Smith</x:v>
      </x:c>
      <x:c r="E233" s="11" t="str">
        <x:v>RB</x:v>
      </x:c>
      <x:c r="F233" s="11" t="str">
        <x:v>KC</x:v>
      </x:c>
      <x:c r="G233" s="13" t="n">
        <x:v>5</x:v>
      </x:c>
      <x:c r="H233" s="12" t="n">
        <x:v>107.5</x:v>
      </x:c>
      <x:c r="I233" s="12" t="n">
        <x:v>20</x:v>
      </x:c>
      <x:c r="J233" s="12" t="n">
        <x:v>87.5</x:v>
      </x:c>
      <x:c r="K233" s="12" t="n">
        <x:v>63.7</x:v>
      </x:c>
      <x:c r="L233" s="12" t="n">
        <x:v>11.3</x:v>
      </x:c>
      <x:c r="M233" s="12" t="n">
        <x:v>-75.7</x:v>
      </x:c>
      <x:c r="N233" s="11" t="str">
        <x:v>Medium</x:v>
      </x:c>
      <x:c r="O233" s="13" t="n">
        <x:v>5</x:v>
      </x:c>
      <x:c r="P233" s="13" t="n">
        <x:v>25</x:v>
      </x:c>
      <x:c r="Q233" s="11"/>
      <x:c r="R233" s="11" t="str">
        <x:v>Veteran model: 2025 form, prior-year trend and same team pass/run forecast; team pass volume #5, rush volume #25</x:v>
      </x:c>
    </x:row>
    <x:row r="234" ht="19" customHeight="1">
      <x:c r="A234" s="13" t="n">
        <x:v>230</x:v>
      </x:c>
      <x:c r="B234" s="12" t="n">
        <x:v>241.8</x:v>
      </x:c>
      <x:c r="C234" s="12" t="n">
        <x:f>B234-A234</x:f>
        <x:v>11.800000000000011</x:v>
      </x:c>
      <x:c r="D234" s="11" t="str">
        <x:v>Ty Simpson</x:v>
      </x:c>
      <x:c r="E234" s="11" t="str">
        <x:v>QB</x:v>
      </x:c>
      <x:c r="F234" s="11" t="str">
        <x:v>LAR</x:v>
      </x:c>
      <x:c r="G234" s="13" t="n">
        <x:v>11</x:v>
      </x:c>
      <x:c r="H234" s="12" t="n">
        <x:v>235.2</x:v>
      </x:c>
      <x:c r="I234" s="12" t="n">
        <x:v>14</x:v>
      </x:c>
      <x:c r="J234" s="12" t="n">
        <x:v>221.2</x:v>
      </x:c>
      <x:c r="K234" s="12" t="n">
        <x:v>69.3</x:v>
      </x:c>
      <x:c r="L234" s="12" t="n">
        <x:v>6.2</x:v>
      </x:c>
      <x:c r="M234" s="12" t="n">
        <x:v>-79.1</x:v>
      </x:c>
      <x:c r="N234" s="11" t="str">
        <x:v>Low</x:v>
      </x:c>
      <x:c r="O234" s="13" t="n">
        <x:v>7</x:v>
      </x:c>
      <x:c r="P234" s="13" t="n">
        <x:v>14</x:v>
      </x:c>
      <x:c r="Q234" s="11"/>
      <x:c r="R234" s="11" t="str">
        <x:v>Rookie model: pick 13, age and destination-team environment; team pass volume #7, rush volume #14</x:v>
      </x:c>
    </x:row>
    <x:row r="235" ht="19" customHeight="1">
      <x:c r="A235" s="13" t="n">
        <x:v>231</x:v>
      </x:c>
      <x:c r="B235" s="12" t="n">
        <x:v>148.7</x:v>
      </x:c>
      <x:c r="C235" s="12" t="n">
        <x:f>B235-A235</x:f>
        <x:v>-82.30000000000001</x:v>
      </x:c>
      <x:c r="D235" s="11" t="str">
        <x:v>Jayden Higgins</x:v>
      </x:c>
      <x:c r="E235" s="11" t="str">
        <x:v>WR</x:v>
      </x:c>
      <x:c r="F235" s="11" t="str">
        <x:v>HOU</x:v>
      </x:c>
      <x:c r="G235" s="13" t="n">
        <x:v>8</x:v>
      </x:c>
      <x:c r="H235" s="12" t="n">
        <x:v>148.1</x:v>
      </x:c>
      <x:c r="I235" s="12" t="n">
        <x:v>0</x:v>
      </x:c>
      <x:c r="J235" s="12" t="n">
        <x:v>148.1</x:v>
      </x:c>
      <x:c r="K235" s="12" t="n">
        <x:v>74.1</x:v>
      </x:c>
      <x:c r="L235" s="12" t="n">
        <x:v>12.5</x:v>
      </x:c>
      <x:c r="M235" s="12" t="n">
        <x:v>-79.2</x:v>
      </x:c>
      <x:c r="N235" s="11" t="str">
        <x:v>Medium</x:v>
      </x:c>
      <x:c r="O235" s="13" t="n">
        <x:v>9</x:v>
      </x:c>
      <x:c r="P235" s="13" t="n">
        <x:v>17</x:v>
      </x:c>
      <x:c r="Q235" s="11" t="str">
        <x:v>IR</x:v>
      </x:c>
      <x:c r="R235" s="11" t="str">
        <x:v>Veteran model: 2025 form, prior-year trend and same team pass/run forecast; team pass volume #9, rush volume #17</x:v>
      </x:c>
    </x:row>
    <x:row r="236" ht="19" customHeight="1">
      <x:c r="A236" s="13" t="n">
        <x:v>232</x:v>
      </x:c>
      <x:c r="B236" s="12" t="n">
        <x:v>227.9</x:v>
      </x:c>
      <x:c r="C236" s="12" t="n">
        <x:f>B236-A236</x:f>
        <x:v>-4.099999999999994</x:v>
      </x:c>
      <x:c r="D236" s="11" t="str">
        <x:v>Michael Penix</x:v>
      </x:c>
      <x:c r="E236" s="11" t="str">
        <x:v>QB</x:v>
      </x:c>
      <x:c r="F236" s="11" t="str">
        <x:v>ATL</x:v>
      </x:c>
      <x:c r="G236" s="13" t="n">
        <x:v>11</x:v>
      </x:c>
      <x:c r="H236" s="12" t="n">
        <x:v>202.8</x:v>
      </x:c>
      <x:c r="I236" s="12" t="n">
        <x:v>108</x:v>
      </x:c>
      <x:c r="J236" s="12" t="n">
        <x:v>94.8</x:v>
      </x:c>
      <x:c r="K236" s="12" t="n">
        <x:v>155.4</x:v>
      </x:c>
      <x:c r="L236" s="12" t="n">
        <x:v>10.3</x:v>
      </x:c>
      <x:c r="M236" s="12" t="n">
        <x:v>-79.2</x:v>
      </x:c>
      <x:c r="N236" s="11" t="str">
        <x:v>Medium</x:v>
      </x:c>
      <x:c r="O236" s="13" t="n">
        <x:v>17</x:v>
      </x:c>
      <x:c r="P236" s="13" t="n">
        <x:v>5</x:v>
      </x:c>
      <x:c r="Q236" s="11" t="str">
        <x:v>Ques</x:v>
      </x:c>
      <x:c r="R236" s="11" t="str">
        <x:v>Veteran model: 2025 form, prior-year trend and same team pass/run forecast; team pass volume #17, rush volume #5</x:v>
      </x:c>
    </x:row>
    <x:row r="237" ht="19" customHeight="1">
      <x:c r="A237" s="13" t="n">
        <x:v>233</x:v>
      </x:c>
      <x:c r="B237" s="12" t="n">
        <x:v>222.1</x:v>
      </x:c>
      <x:c r="C237" s="12" t="n">
        <x:f>B237-A237</x:f>
        <x:v>-10.900000000000006</x:v>
      </x:c>
      <x:c r="D237" s="11" t="str">
        <x:v>Kyle Williams</x:v>
      </x:c>
      <x:c r="E237" s="11" t="str">
        <x:v>WR</x:v>
      </x:c>
      <x:c r="F237" s="11" t="str">
        <x:v>NE</x:v>
      </x:c>
      <x:c r="G237" s="13" t="n">
        <x:v>11</x:v>
      </x:c>
      <x:c r="H237" s="12" t="n">
        <x:v>94.2</x:v>
      </x:c>
      <x:c r="I237" s="12" t="n">
        <x:v>31</x:v>
      </x:c>
      <x:c r="J237" s="12" t="n">
        <x:v>63.2</x:v>
      </x:c>
      <x:c r="K237" s="12" t="n">
        <x:v>62.6</x:v>
      </x:c>
      <x:c r="L237" s="12" t="n">
        <x:v>11.4</x:v>
      </x:c>
      <x:c r="M237" s="12" t="n">
        <x:v>-79.9</x:v>
      </x:c>
      <x:c r="N237" s="11" t="str">
        <x:v>Medium</x:v>
      </x:c>
      <x:c r="O237" s="13" t="n">
        <x:v>27</x:v>
      </x:c>
      <x:c r="P237" s="13" t="n">
        <x:v>12</x:v>
      </x:c>
      <x:c r="Q237" s="11"/>
      <x:c r="R237" s="11" t="str">
        <x:v>Veteran model: 2025 form, prior-year trend and same team pass/run forecast; team pass volume #27, rush volume #12</x:v>
      </x:c>
    </x:row>
    <x:row r="238" ht="19" customHeight="1">
      <x:c r="A238" s="13" t="n">
        <x:v>234</x:v>
      </x:c>
      <x:c r="B238" s="12" t="n">
        <x:v>224.2</x:v>
      </x:c>
      <x:c r="C238" s="12" t="n">
        <x:f>B238-A238</x:f>
        <x:v>-9.800000000000011</x:v>
      </x:c>
      <x:c r="D238" s="11" t="str">
        <x:v>J.J. McCarthy</x:v>
      </x:c>
      <x:c r="E238" s="11" t="str">
        <x:v>QB</x:v>
      </x:c>
      <x:c r="F238" s="11" t="str">
        <x:v>MIN</x:v>
      </x:c>
      <x:c r="G238" s="13" t="n">
        <x:v>6</x:v>
      </x:c>
      <x:c r="H238" s="12" t="n">
        <x:v>202.1</x:v>
      </x:c>
      <x:c r="I238" s="12" t="n">
        <x:v>20</x:v>
      </x:c>
      <x:c r="J238" s="12" t="n">
        <x:v>182.1</x:v>
      </x:c>
      <x:c r="K238" s="12" t="n">
        <x:v>111.1</x:v>
      </x:c>
      <x:c r="L238" s="12" t="n">
        <x:v>9.5</x:v>
      </x:c>
      <x:c r="M238" s="12" t="n">
        <x:v>-97.9</x:v>
      </x:c>
      <x:c r="N238" s="11" t="str">
        <x:v>Medium</x:v>
      </x:c>
      <x:c r="O238" s="13" t="n">
        <x:v>26</x:v>
      </x:c>
      <x:c r="P238" s="13" t="n">
        <x:v>27</x:v>
      </x:c>
      <x:c r="Q238" s="11"/>
      <x:c r="R238" s="11" t="str">
        <x:v>Veteran model: 2025 form, prior-year trend and same team pass/run forecast; team pass volume #26, rush volume #27</x:v>
      </x:c>
    </x:row>
    <x:row r="239" ht="19" customHeight="1">
      <x:c r="A239" s="13" t="n">
        <x:v>235</x:v>
      </x:c>
      <x:c r="B239" s="12" t="n">
        <x:v>240.6</x:v>
      </x:c>
      <x:c r="C239" s="12" t="n">
        <x:f>B239-A239</x:f>
        <x:v>5.599999999999994</x:v>
      </x:c>
      <x:c r="D239" s="11" t="str">
        <x:v>Jarquez Hunter</x:v>
      </x:c>
      <x:c r="E239" s="11" t="str">
        <x:v>RB</x:v>
      </x:c>
      <x:c r="F239" s="11" t="str">
        <x:v>LAR</x:v>
      </x:c>
      <x:c r="G239" s="13" t="n">
        <x:v>11</x:v>
      </x:c>
      <x:c r="H239" s="12" t="n">
        <x:v>10</x:v>
      </x:c>
      <x:c r="I239" s="12" t="n">
        <x:v>10</x:v>
      </x:c>
      <x:c r="J239" s="12" t="n">
        <x:v>0</x:v>
      </x:c>
      <x:c r="K239" s="12" t="n">
        <x:v>10</x:v>
      </x:c>
      <x:c r="L239" s="12" t="n">
        <x:v>17</x:v>
      </x:c>
      <x:c r="M239" s="12" t="n">
        <x:v>-167.6</x:v>
      </x:c>
      <x:c r="N239" s="11" t="str">
        <x:v>Low</x:v>
      </x:c>
      <x:c r="O239" s="13" t="n">
        <x:v>7</x:v>
      </x:c>
      <x:c r="P239" s="13" t="n">
        <x:v>14</x:v>
      </x:c>
      <x:c r="Q239" s="11"/>
      <x:c r="R239" s="11" t="str">
        <x:v>No reliable NFLverse player match; Sleeper only; team pass volume #7, rush volume #14</x:v>
      </x:c>
    </x:row>
  </x:sheetData>
  <x:mergeCells>
    <x:mergeCell ref="A1:R1"/>
    <x:mergeCell ref="A2:R2"/>
  </x:mergeCells>
  <x:conditionalFormatting sqref="C5:C239">
    <x:cfRule type="colorScale" priority="1">
      <x:colorScale>
        <x:cfvo type="min"/>
        <x:cfvo type="percentile" val="50"/>
        <x:cfvo type="max"/>
        <x:color rgb="FFE67C73"/>
        <x:color rgb="FFFFF0C2"/>
        <x:color rgb="FF63BE7B"/>
      </x:colorScale>
    </x:cfRule>
  </x:conditionalFormatting>
  <x:conditionalFormatting sqref="J5:J239">
    <x:cfRule type="colorScale" priority="2">
      <x:colorScale>
        <x:cfvo type="min"/>
        <x:cfvo type="percentile" val="50"/>
        <x:cfvo type="max"/>
        <x:color rgb="FFE67C73"/>
        <x:color rgb="FFFFF0C2"/>
        <x:color rgb="FF63BE7B"/>
      </x:colorScale>
    </x:cfRule>
  </x:conditionalFormatting>
  <x:conditionalFormatting sqref="M5:M239">
    <x:cfRule type="dataBar" priority="3">
      <x:dataBar>
        <x:cfvo type="min"/>
        <x:cfvo type="max"/>
        <x:color rgb="FF4B7BEC"/>
      </x:dataBar>
      <x:extLst>
        <x:ext xmlns:x14="http://schemas.microsoft.com/office/spreadsheetml/2009/9/main" uri="{B025F937-C7B1-47D3-B67F-A62EFF666E3E}">
          <x14:id>{75C998E8-47DB-A40C-B33E-A83A8A32CA85}</x14:id>
        </x:ext>
      </x:extLst>
    </x:cfRule>
  </x:conditionalFormatting>
  <x:conditionalFormatting sqref="E5:E239">
    <x:cfRule type="containsText" dxfId="28" priority="4" operator="containsText" text="QB"/>
    <x:cfRule type="containsText" dxfId="29" priority="5" operator="containsText" text="RB"/>
    <x:cfRule type="containsText" dxfId="30" priority="6" operator="containsText" text="WR"/>
    <x:cfRule type="containsText" dxfId="31" priority="7" operator="containsText" text="TE"/>
    <x:cfRule type="containsText" dxfId="32" priority="8" operator="containsText" text="K"/>
    <x:cfRule type="containsText" dxfId="33" priority="9" operator="containsText" text="DEF"/>
  </x:conditionalFormatting>
  <x:conditionalFormatting sqref="N5:N239">
    <x:cfRule type="containsText" dxfId="34" priority="10" operator="containsText" text="High"/>
    <x:cfRule type="containsText" dxfId="35" priority="11" operator="containsText" text="Medium"/>
    <x:cfRule type="containsText" dxfId="36" priority="12" operator="containsText" text="Low"/>
  </x:conditionalFormatting>
  <x:conditionalFormatting sqref="Q5:Q239">
    <x:cfRule type="notContainsBlanks" dxfId="37" priority="13"/>
  </x:conditionalFormatting>
  <x:pageMargins left="0.7" right="0.7" top="0.75" bottom="0.75" header="0.3" footer="0.3"/>
  <x:tableParts count="1">
    <x:tablePart xmlns:r="http://schemas.openxmlformats.org/officeDocument/2006/relationships" r:id="R2873b27846cd454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75C998E8-47DB-A40C-B33E-A83A8A32CA85}">
            <x14:dataBar gradient="1">
              <x14:cfvo type="min"/>
              <x14:cfvo type="max"/>
              <x14:fillColor rgb="FF4B7BEC"/>
            </x14:dataBar>
          </x14:cfRule>
          <xm:sqref>M5:M239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11" hidden="0" customWidth="1"/>
    <x:col min="4" max="4" width="8" hidden="0" customWidth="1"/>
    <x:col min="5" max="5" width="10" hidden="0" customWidth="1"/>
    <x:col min="6" max="6" width="9" hidden="0" customWidth="1"/>
    <x:col min="7" max="7" width="24" hidden="0" customWidth="1"/>
    <x:col min="8" max="8" width="8" hidden="0" customWidth="1"/>
    <x:col min="9" max="9" width="7" hidden="0" customWidth="1"/>
    <x:col min="10" max="10" width="10" hidden="0" customWidth="1"/>
    <x:col min="11" max="11" width="10" hidden="0" customWidth="1"/>
    <x:col min="12" max="12" width="10" hidden="0" customWidth="1"/>
    <x:col min="13" max="13" width="11" hidden="0" customWidth="1"/>
    <x:col min="14" max="14" width="8" hidden="0" customWidth="1"/>
    <x:col min="15" max="15" width="9" hidden="0" customWidth="1"/>
    <x:col min="16" max="16" width="11" hidden="0" customWidth="1"/>
    <x:col min="17" max="17" width="10" hidden="0" customWidth="1"/>
    <x:col min="18" max="18" width="10" hidden="0" customWidth="1"/>
    <x:col min="19" max="19" width="12" hidden="0" customWidth="1"/>
    <x:col min="20" max="20" width="14" hidden="0" customWidth="1"/>
    <x:col min="21" max="21" width="12" hidden="0" customWidth="1"/>
    <x:col min="22" max="22" width="14" hidden="0" customWidth="1"/>
    <x:col min="23" max="23" width="10" hidden="0" customWidth="1"/>
    <x:col min="24" max="24" width="9" hidden="0" customWidth="1"/>
    <x:col min="25" max="25" width="10" hidden="0" customWidth="1"/>
    <x:col min="26" max="26" width="52" hidden="0" customWidth="1"/>
  </x:cols>
  <x:sheetData>
    <x:row r="1" ht="32" customHeight="1">
      <x:c r="A1" s="3" t="str">
        <x:v>QB POSITION BOARD</x:v>
      </x:c>
    </x:row>
    <x:row r="2" ht="26" customHeight="1">
      <x:c r="A2" s="7" t="str">
        <x:v>Own projection, Sleeper comparison, team environment and expected opportunity | decision replacement: 13</x:v>
      </x:c>
    </x:row>
    <x:row r="4" ht="25" customHeight="1">
      <x:c r="A4" s="11" t="str">
        <x:v>Pos Rank</x:v>
      </x:c>
      <x:c r="B4" s="11" t="str">
        <x:v>Decision</x:v>
      </x:c>
      <x:c r="C4" s="11" t="str">
        <x:v>Independent</x:v>
      </x:c>
      <x:c r="D4" s="11" t="str">
        <x:v>ADP</x:v>
      </x:c>
      <x:c r="E4" s="11" t="str">
        <x:v>Draft Gap</x:v>
      </x:c>
      <x:c r="F4" s="11" t="str">
        <x:v>Ind Gap</x:v>
      </x:c>
      <x:c r="G4" s="11" t="str">
        <x:v>Player</x:v>
      </x:c>
      <x:c r="H4" s="11" t="str">
        <x:v>Team</x:v>
      </x:c>
      <x:c r="I4" s="11" t="str">
        <x:v>Bye</x:v>
      </x:c>
      <x:c r="J4" s="11" t="str">
        <x:v>Our 17G</x:v>
      </x:c>
      <x:c r="K4" s="11" t="str">
        <x:v>Sleeper</x:v>
      </x:c>
      <x:c r="L4" s="11" t="str">
        <x:v>Proj Gap</x:v>
      </x:c>
      <x:c r="M4" s="11" t="str">
        <x:v>Decision Pts</x:v>
      </x:c>
      <x:c r="N4" s="11" t="str">
        <x:v>Exp G</x:v>
      </x:c>
      <x:c r="O4" s="11" t="str">
        <x:v>VBD</x:v>
      </x:c>
      <x:c r="P4" s="11" t="str">
        <x:v>Confidence</x:v>
      </x:c>
      <x:c r="Q4" s="11" t="str">
        <x:v>Pass Rank</x:v>
      </x:c>
      <x:c r="R4" s="11" t="str">
        <x:v>Rush Rank</x:v>
      </x:c>
      <x:c r="S4" s="11" t="str">
        <x:v>Own Pass Att</x:v>
      </x:c>
      <x:c r="T4" s="11" t="str">
        <x:v>Sleeper Pass Att</x:v>
      </x:c>
      <x:c r="U4" s="11" t="str">
        <x:v>Own Carries</x:v>
      </x:c>
      <x:c r="V4" s="11" t="str">
        <x:v>Sleeper Carries</x:v>
      </x:c>
      <x:c r="W4" s="11" t="str">
        <x:v>2025 PPG</x:v>
      </x:c>
      <x:c r="X4" s="11" t="str">
        <x:v>2025 G</x:v>
      </x:c>
      <x:c r="Y4" s="11" t="str">
        <x:v>Injury</x:v>
      </x:c>
      <x:c r="Z4" s="11" t="str">
        <x:v>Why</x:v>
      </x:c>
    </x:row>
    <x:row r="5" ht="19" customHeight="1">
      <x:c r="A5" s="13" t="n">
        <x:v>1</x:v>
      </x:c>
      <x:c r="B5" s="13" t="n">
        <x:v>24</x:v>
      </x:c>
      <x:c r="C5" s="13" t="n">
        <x:v>26</x:v>
      </x:c>
      <x:c r="D5" s="12" t="n">
        <x:v>24.5</x:v>
      </x:c>
      <x:c r="E5" s="12" t="n">
        <x:v>0.5</x:v>
      </x:c>
      <x:c r="F5" s="12" t="n">
        <x:v>-1.5</x:v>
      </x:c>
      <x:c r="G5" s="11" t="str">
        <x:v>Josh Allen</x:v>
      </x:c>
      <x:c r="H5" s="11" t="str">
        <x:v>BUF</x:v>
      </x:c>
      <x:c r="I5" s="13" t="n">
        <x:v>7</x:v>
      </x:c>
      <x:c r="J5" s="12" t="n">
        <x:v>325.1</x:v>
      </x:c>
      <x:c r="K5" s="12" t="n">
        <x:v>362</x:v>
      </x:c>
      <x:c r="L5" s="12" t="n">
        <x:v>-36.9</x:v>
      </x:c>
      <x:c r="M5" s="12" t="n">
        <x:v>338</x:v>
      </x:c>
      <x:c r="N5" s="12" t="n">
        <x:v>14.7</x:v>
      </x:c>
      <x:c r="O5" s="12" t="n">
        <x:v>44.8</x:v>
      </x:c>
      <x:c r="P5" s="11" t="str">
        <x:v>High</x:v>
      </x:c>
      <x:c r="Q5" s="13" t="n">
        <x:v>28</x:v>
      </x:c>
      <x:c r="R5" s="13" t="n">
        <x:v>3</x:v>
      </x:c>
      <x:c r="S5" s="12" t="n">
        <x:v>489.1</x:v>
      </x:c>
      <x:c r="T5" s="12" t="n">
        <x:v>474</x:v>
      </x:c>
      <x:c r="U5" s="12" t="n">
        <x:v>108.9</x:v>
      </x:c>
      <x:c r="V5" s="12" t="n">
        <x:v>110</x:v>
      </x:c>
      <x:c r="W5" s="12" t="n">
        <x:v>22</x:v>
      </x:c>
      <x:c r="X5" s="13" t="n">
        <x:v>17</x:v>
      </x:c>
      <x:c r="Y5" s="11"/>
      <x:c r="Z5" s="11" t="str">
        <x:v>Veteran model: 2025 form, prior-year trend and same team pass/run forecast; team pass volume #28, rush volume #3</x:v>
      </x:c>
    </x:row>
    <x:row r="6" ht="19" customHeight="1">
      <x:c r="A6" s="13" t="n">
        <x:v>2</x:v>
      </x:c>
      <x:c r="B6" s="13" t="n">
        <x:v>35</x:v>
      </x:c>
      <x:c r="C6" s="13" t="n">
        <x:v>29</x:v>
      </x:c>
      <x:c r="D6" s="12" t="n">
        <x:v>48.1</x:v>
      </x:c>
      <x:c r="E6" s="12" t="n">
        <x:v>13.1</x:v>
      </x:c>
      <x:c r="F6" s="12" t="n">
        <x:v>19.1</x:v>
      </x:c>
      <x:c r="G6" s="11" t="str">
        <x:v>Drake Maye</x:v>
      </x:c>
      <x:c r="H6" s="11" t="str">
        <x:v>NE</x:v>
      </x:c>
      <x:c r="I6" s="13" t="n">
        <x:v>11</x:v>
      </x:c>
      <x:c r="J6" s="12" t="n">
        <x:v>323.5</x:v>
      </x:c>
      <x:c r="K6" s="12" t="n">
        <x:v>321</x:v>
      </x:c>
      <x:c r="L6" s="12" t="n">
        <x:v>2.5</x:v>
      </x:c>
      <x:c r="M6" s="12" t="n">
        <x:v>322.7</x:v>
      </x:c>
      <x:c r="N6" s="12" t="n">
        <x:v>14.9</x:v>
      </x:c>
      <x:c r="O6" s="12" t="n">
        <x:v>32</x:v>
      </x:c>
      <x:c r="P6" s="11" t="str">
        <x:v>High</x:v>
      </x:c>
      <x:c r="Q6" s="13" t="n">
        <x:v>27</x:v>
      </x:c>
      <x:c r="R6" s="13" t="n">
        <x:v>12</x:v>
      </x:c>
      <x:c r="S6" s="12" t="n">
        <x:v>546.5</x:v>
      </x:c>
      <x:c r="T6" s="12" t="n">
        <x:v>505</x:v>
      </x:c>
      <x:c r="U6" s="12" t="n">
        <x:v>90.2</x:v>
      </x:c>
      <x:c r="V6" s="12" t="n">
        <x:v>85</x:v>
      </x:c>
      <x:c r="W6" s="12" t="n">
        <x:v>21.2</x:v>
      </x:c>
      <x:c r="X6" s="13" t="n">
        <x:v>17</x:v>
      </x:c>
      <x:c r="Y6" s="11"/>
      <x:c r="Z6" s="11" t="str">
        <x:v>Veteran model: 2025 form, prior-year trend and same team pass/run forecast; team pass volume #27, rush volume #12</x:v>
      </x:c>
    </x:row>
    <x:row r="7" ht="19" customHeight="1">
      <x:c r="A7" s="13" t="n">
        <x:v>3</x:v>
      </x:c>
      <x:c r="B7" s="13" t="n">
        <x:v>47</x:v>
      </x:c>
      <x:c r="C7" s="13" t="n">
        <x:v>35</x:v>
      </x:c>
      <x:c r="D7" s="12" t="n">
        <x:v>71.9</x:v>
      </x:c>
      <x:c r="E7" s="12" t="n">
        <x:v>24.9</x:v>
      </x:c>
      <x:c r="F7" s="12" t="n">
        <x:v>36.9</x:v>
      </x:c>
      <x:c r="G7" s="11" t="str">
        <x:v>Caleb Williams</x:v>
      </x:c>
      <x:c r="H7" s="11" t="str">
        <x:v>CHI</x:v>
      </x:c>
      <x:c r="I7" s="13" t="n">
        <x:v>10</x:v>
      </x:c>
      <x:c r="J7" s="12" t="n">
        <x:v>319.6</x:v>
      </x:c>
      <x:c r="K7" s="12" t="n">
        <x:v>299</x:v>
      </x:c>
      <x:c r="L7" s="12" t="n">
        <x:v>20.6</x:v>
      </x:c>
      <x:c r="M7" s="12" t="n">
        <x:v>312.4</x:v>
      </x:c>
      <x:c r="N7" s="12" t="n">
        <x:v>15.4</x:v>
      </x:c>
      <x:c r="O7" s="12" t="n">
        <x:v>23.7</x:v>
      </x:c>
      <x:c r="P7" s="11" t="str">
        <x:v>High</x:v>
      </x:c>
      <x:c r="Q7" s="13" t="n">
        <x:v>13</x:v>
      </x:c>
      <x:c r="R7" s="13" t="n">
        <x:v>6</x:v>
      </x:c>
      <x:c r="S7" s="12" t="n">
        <x:v>551.5</x:v>
      </x:c>
      <x:c r="T7" s="12" t="n">
        <x:v>514</x:v>
      </x:c>
      <x:c r="U7" s="12" t="n">
        <x:v>88.3</x:v>
      </x:c>
      <x:c r="V7" s="12" t="n">
        <x:v>75</x:v>
      </x:c>
      <x:c r="W7" s="12" t="n">
        <x:v>19.1</x:v>
      </x:c>
      <x:c r="X7" s="13" t="n">
        <x:v>17</x:v>
      </x:c>
      <x:c r="Y7" s="11"/>
      <x:c r="Z7" s="11" t="str">
        <x:v>Veteran model: 2025 form, prior-year trend and same team pass/run forecast; team pass volume #13, rush volume #6</x:v>
      </x:c>
    </x:row>
    <x:row r="8" ht="19" customHeight="1">
      <x:c r="A8" s="13" t="n">
        <x:v>4</x:v>
      </x:c>
      <x:c r="B8" s="13" t="n">
        <x:v>56</x:v>
      </x:c>
      <x:c r="C8" s="13" t="n">
        <x:v>57</x:v>
      </x:c>
      <x:c r="D8" s="12" t="n">
        <x:v>62.9</x:v>
      </x:c>
      <x:c r="E8" s="12" t="n">
        <x:v>6.9</x:v>
      </x:c>
      <x:c r="F8" s="12" t="n">
        <x:v>5.9</x:v>
      </x:c>
      <x:c r="G8" s="11" t="str">
        <x:v>Jalen Hurts</x:v>
      </x:c>
      <x:c r="H8" s="11" t="str">
        <x:v>PHI</x:v>
      </x:c>
      <x:c r="I8" s="13" t="n">
        <x:v>10</x:v>
      </x:c>
      <x:c r="J8" s="12" t="n">
        <x:v>301.6</x:v>
      </x:c>
      <x:c r="K8" s="12" t="n">
        <x:v>311</x:v>
      </x:c>
      <x:c r="L8" s="12" t="n">
        <x:v>-9.4</x:v>
      </x:c>
      <x:c r="M8" s="12" t="n">
        <x:v>304.9</x:v>
      </x:c>
      <x:c r="N8" s="12" t="n">
        <x:v>13.1</x:v>
      </x:c>
      <x:c r="O8" s="12" t="n">
        <x:v>14.4</x:v>
      </x:c>
      <x:c r="P8" s="11" t="str">
        <x:v>High</x:v>
      </x:c>
      <x:c r="Q8" s="13" t="n">
        <x:v>31</x:v>
      </x:c>
      <x:c r="R8" s="13" t="n">
        <x:v>2</x:v>
      </x:c>
      <x:c r="S8" s="12" t="n">
        <x:v>473.2</x:v>
      </x:c>
      <x:c r="T8" s="12" t="n">
        <x:v>462</x:v>
      </x:c>
      <x:c r="U8" s="12" t="n">
        <x:v>103</x:v>
      </x:c>
      <x:c r="V8" s="12" t="n">
        <x:v>120</x:v>
      </x:c>
      <x:c r="W8" s="12" t="n">
        <x:v>19.1</x:v>
      </x:c>
      <x:c r="X8" s="13" t="n">
        <x:v>16</x:v>
      </x:c>
      <x:c r="Y8" s="11"/>
      <x:c r="Z8" s="11" t="str">
        <x:v>Veteran model: 2025 form, prior-year trend and same team pass/run forecast; team pass volume #31, rush volume #2</x:v>
      </x:c>
    </x:row>
    <x:row r="9" ht="19" customHeight="1">
      <x:c r="A9" s="13" t="n">
        <x:v>5</x:v>
      </x:c>
      <x:c r="B9" s="13" t="n">
        <x:v>58</x:v>
      </x:c>
      <x:c r="C9" s="13" t="n">
        <x:v>48</x:v>
      </x:c>
      <x:c r="D9" s="12" t="n">
        <x:v>121.1</x:v>
      </x:c>
      <x:c r="E9" s="12" t="n">
        <x:v>63.1</x:v>
      </x:c>
      <x:c r="F9" s="12" t="n">
        <x:v>73.1</x:v>
      </x:c>
      <x:c r="G9" s="11" t="str">
        <x:v>Bo Nix</x:v>
      </x:c>
      <x:c r="H9" s="11" t="str">
        <x:v>DEN</x:v>
      </x:c>
      <x:c r="I9" s="13" t="n">
        <x:v>10</x:v>
      </x:c>
      <x:c r="J9" s="12" t="n">
        <x:v>304.3</x:v>
      </x:c>
      <x:c r="K9" s="12" t="n">
        <x:v>296</x:v>
      </x:c>
      <x:c r="L9" s="12" t="n">
        <x:v>8.3</x:v>
      </x:c>
      <x:c r="M9" s="12" t="n">
        <x:v>301.4</x:v>
      </x:c>
      <x:c r="N9" s="12" t="n">
        <x:v>14.4</x:v>
      </x:c>
      <x:c r="O9" s="12" t="n">
        <x:v>12.9</x:v>
      </x:c>
      <x:c r="P9" s="11" t="str">
        <x:v>High</x:v>
      </x:c>
      <x:c r="Q9" s="13" t="n">
        <x:v>6</x:v>
      </x:c>
      <x:c r="R9" s="13" t="n">
        <x:v>19</x:v>
      </x:c>
      <x:c r="S9" s="12" t="n">
        <x:v>529.8</x:v>
      </x:c>
      <x:c r="T9" s="12" t="n">
        <x:v>555</x:v>
      </x:c>
      <x:c r="U9" s="12" t="n">
        <x:v>81.1</x:v>
      </x:c>
      <x:c r="V9" s="12" t="n">
        <x:v>76</x:v>
      </x:c>
      <x:c r="W9" s="12" t="n">
        <x:v>18.6</x:v>
      </x:c>
      <x:c r="X9" s="13" t="n">
        <x:v>17</x:v>
      </x:c>
      <x:c r="Y9" s="11"/>
      <x:c r="Z9" s="11" t="str">
        <x:v>Veteran model: 2025 form, prior-year trend and same team pass/run forecast; team pass volume #6, rush volume #19</x:v>
      </x:c>
    </x:row>
    <x:row r="10" ht="19" customHeight="1">
      <x:c r="A10" s="13" t="n">
        <x:v>6</x:v>
      </x:c>
      <x:c r="B10" s="13" t="n">
        <x:v>66</x:v>
      </x:c>
      <x:c r="C10" s="13" t="n">
        <x:v>83</x:v>
      </x:c>
      <x:c r="D10" s="12" t="n">
        <x:v>33.5</x:v>
      </x:c>
      <x:c r="E10" s="12" t="n">
        <x:v>-32.5</x:v>
      </x:c>
      <x:c r="F10" s="12" t="n">
        <x:v>-49.5</x:v>
      </x:c>
      <x:c r="G10" s="11" t="str">
        <x:v>Lamar Jackson</x:v>
      </x:c>
      <x:c r="H10" s="11" t="str">
        <x:v>BAL</x:v>
      </x:c>
      <x:c r="I10" s="13" t="n">
        <x:v>13</x:v>
      </x:c>
      <x:c r="J10" s="12" t="n">
        <x:v>283.5</x:v>
      </x:c>
      <x:c r="K10" s="12" t="n">
        <x:v>326</x:v>
      </x:c>
      <x:c r="L10" s="12" t="n">
        <x:v>-42.5</x:v>
      </x:c>
      <x:c r="M10" s="12" t="n">
        <x:v>298.4</x:v>
      </x:c>
      <x:c r="N10" s="12" t="n">
        <x:v>12.1</x:v>
      </x:c>
      <x:c r="O10" s="12" t="n">
        <x:v>8.7</x:v>
      </x:c>
      <x:c r="P10" s="11" t="str">
        <x:v>High</x:v>
      </x:c>
      <x:c r="Q10" s="13" t="n">
        <x:v>32</x:v>
      </x:c>
      <x:c r="R10" s="13" t="n">
        <x:v>1</x:v>
      </x:c>
      <x:c r="S10" s="12" t="n">
        <x:v>460.4</x:v>
      </x:c>
      <x:c r="T10" s="12" t="n">
        <x:v>415</x:v>
      </x:c>
      <x:c r="U10" s="12" t="n">
        <x:v>86.5</x:v>
      </x:c>
      <x:c r="V10" s="12" t="n">
        <x:v>119</x:v>
      </x:c>
      <x:c r="W10" s="12" t="n">
        <x:v>17.1</x:v>
      </x:c>
      <x:c r="X10" s="13" t="n">
        <x:v>13</x:v>
      </x:c>
      <x:c r="Y10" s="11"/>
      <x:c r="Z10" s="11" t="str">
        <x:v>Veteran model: 2025 form, prior-year trend and same team pass/run forecast; team pass volume #32, rush volume #1</x:v>
      </x:c>
    </x:row>
    <x:row r="11" ht="19" customHeight="1">
      <x:c r="A11" s="13" t="n">
        <x:v>7</x:v>
      </x:c>
      <x:c r="B11" s="13" t="n">
        <x:v>72</x:v>
      </x:c>
      <x:c r="C11" s="13" t="n">
        <x:v>78</x:v>
      </x:c>
      <x:c r="D11" s="12" t="n">
        <x:v>62.5</x:v>
      </x:c>
      <x:c r="E11" s="12" t="n">
        <x:v>-9.5</x:v>
      </x:c>
      <x:c r="F11" s="12" t="n">
        <x:v>-15.5</x:v>
      </x:c>
      <x:c r="G11" s="11" t="str">
        <x:v>Jayden Daniels</x:v>
      </x:c>
      <x:c r="H11" s="11" t="str">
        <x:v>WAS</x:v>
      </x:c>
      <x:c r="I11" s="13" t="n">
        <x:v>7</x:v>
      </x:c>
      <x:c r="J11" s="12" t="n">
        <x:v>287</x:v>
      </x:c>
      <x:c r="K11" s="12" t="n">
        <x:v>309</x:v>
      </x:c>
      <x:c r="L11" s="12" t="n">
        <x:v>-22</x:v>
      </x:c>
      <x:c r="M11" s="12" t="n">
        <x:v>298</x:v>
      </x:c>
      <x:c r="N11" s="12" t="n">
        <x:v>10.9</x:v>
      </x:c>
      <x:c r="O11" s="12" t="n">
        <x:v>7.6</x:v>
      </x:c>
      <x:c r="P11" s="11" t="str">
        <x:v>Medium</x:v>
      </x:c>
      <x:c r="Q11" s="13" t="n">
        <x:v>29</x:v>
      </x:c>
      <x:c r="R11" s="13" t="n">
        <x:v>8</x:v>
      </x:c>
      <x:c r="S11" s="12" t="n">
        <x:v>452</x:v>
      </x:c>
      <x:c r="T11" s="12" t="n">
        <x:v>479</x:v>
      </x:c>
      <x:c r="U11" s="12" t="n">
        <x:v>117.6</x:v>
      </x:c>
      <x:c r="V11" s="12" t="n">
        <x:v>126</x:v>
      </x:c>
      <x:c r="W11" s="12" t="n">
        <x:v>16.7</x:v>
      </x:c>
      <x:c r="X11" s="13" t="n">
        <x:v>7</x:v>
      </x:c>
      <x:c r="Y11" s="11"/>
      <x:c r="Z11" s="11" t="str">
        <x:v>Veteran model: 2025 form, prior-year trend and same team pass/run forecast; team pass volume #29, rush volume #8</x:v>
      </x:c>
    </x:row>
    <x:row r="12" ht="19" customHeight="1">
      <x:c r="A12" s="13" t="n">
        <x:v>8</x:v>
      </x:c>
      <x:c r="B12" s="13" t="n">
        <x:v>71</x:v>
      </x:c>
      <x:c r="C12" s="13" t="n">
        <x:v>58</x:v>
      </x:c>
      <x:c r="D12" s="12" t="n">
        <x:v>107.2</x:v>
      </x:c>
      <x:c r="E12" s="12" t="n">
        <x:v>36.2</x:v>
      </x:c>
      <x:c r="F12" s="12" t="n">
        <x:v>49.2</x:v>
      </x:c>
      <x:c r="G12" s="11" t="str">
        <x:v>Patrick Mahomes</x:v>
      </x:c>
      <x:c r="H12" s="11" t="str">
        <x:v>KC</x:v>
      </x:c>
      <x:c r="I12" s="13" t="n">
        <x:v>5</x:v>
      </x:c>
      <x:c r="J12" s="12" t="n">
        <x:v>302.1</x:v>
      </x:c>
      <x:c r="K12" s="12" t="n">
        <x:v>287</x:v>
      </x:c>
      <x:c r="L12" s="12" t="n">
        <x:v>15.1</x:v>
      </x:c>
      <x:c r="M12" s="12" t="n">
        <x:v>296.8</x:v>
      </x:c>
      <x:c r="N12" s="12" t="n">
        <x:v>12.3</x:v>
      </x:c>
      <x:c r="O12" s="12" t="n">
        <x:v>7.7</x:v>
      </x:c>
      <x:c r="P12" s="11" t="str">
        <x:v>High</x:v>
      </x:c>
      <x:c r="Q12" s="13" t="n">
        <x:v>5</x:v>
      </x:c>
      <x:c r="R12" s="13" t="n">
        <x:v>25</x:v>
      </x:c>
      <x:c r="S12" s="12" t="n">
        <x:v>548.8</x:v>
      </x:c>
      <x:c r="T12" s="12" t="n">
        <x:v>555</x:v>
      </x:c>
      <x:c r="U12" s="12" t="n">
        <x:v>77.2</x:v>
      </x:c>
      <x:c r="V12" s="12" t="n">
        <x:v>47</x:v>
      </x:c>
      <x:c r="W12" s="12" t="n">
        <x:v>21.2</x:v>
      </x:c>
      <x:c r="X12" s="13" t="n">
        <x:v>14</x:v>
      </x:c>
      <x:c r="Y12" s="11" t="str">
        <x:v>Ques</x:v>
      </x:c>
      <x:c r="Z12" s="11" t="str">
        <x:v>Veteran model: 2025 form, prior-year trend and same team pass/run forecast; team pass volume #5, rush volume #25</x:v>
      </x:c>
    </x:row>
    <x:row r="13" ht="19" customHeight="1">
      <x:c r="A13" s="13" t="n">
        <x:v>9</x:v>
      </x:c>
      <x:c r="B13" s="13" t="n">
        <x:v>74</x:v>
      </x:c>
      <x:c r="C13" s="13" t="n">
        <x:v>56</x:v>
      </x:c>
      <x:c r="D13" s="12" t="n">
        <x:v>99.6</x:v>
      </x:c>
      <x:c r="E13" s="12" t="n">
        <x:v>25.6</x:v>
      </x:c>
      <x:c r="F13" s="12" t="n">
        <x:v>43.6</x:v>
      </x:c>
      <x:c r="G13" s="11" t="str">
        <x:v>Matthew Stafford</x:v>
      </x:c>
      <x:c r="H13" s="11" t="str">
        <x:v>LAR</x:v>
      </x:c>
      <x:c r="I13" s="13" t="n">
        <x:v>11</x:v>
      </x:c>
      <x:c r="J13" s="12" t="n">
        <x:v>299.7</x:v>
      </x:c>
      <x:c r="K13" s="12" t="n">
        <x:v>280</x:v>
      </x:c>
      <x:c r="L13" s="12" t="n">
        <x:v>19.7</x:v>
      </x:c>
      <x:c r="M13" s="12" t="n">
        <x:v>292.8</x:v>
      </x:c>
      <x:c r="N13" s="12" t="n">
        <x:v>15.1</x:v>
      </x:c>
      <x:c r="O13" s="12" t="n">
        <x:v>5.9</x:v>
      </x:c>
      <x:c r="P13" s="11" t="str">
        <x:v>High</x:v>
      </x:c>
      <x:c r="Q13" s="13" t="n">
        <x:v>7</x:v>
      </x:c>
      <x:c r="R13" s="13" t="n">
        <x:v>14</x:v>
      </x:c>
      <x:c r="S13" s="12" t="n">
        <x:v>636.2</x:v>
      </x:c>
      <x:c r="T13" s="12" t="n">
        <x:v>528</x:v>
      </x:c>
      <x:c r="U13" s="12" t="n">
        <x:v>20</x:v>
      </x:c>
      <x:c r="V13" s="12" t="n">
        <x:v>27</x:v>
      </x:c>
      <x:c r="W13" s="12" t="n">
        <x:v>21.1</x:v>
      </x:c>
      <x:c r="X13" s="13" t="n">
        <x:v>17</x:v>
      </x:c>
      <x:c r="Y13" s="11"/>
      <x:c r="Z13" s="11" t="str">
        <x:v>Veteran model: 2025 form, prior-year trend and same team pass/run forecast; team pass volume #7, rush volume #14</x:v>
      </x:c>
    </x:row>
    <x:row r="14" ht="19" customHeight="1">
      <x:c r="A14" s="13" t="n">
        <x:v>10</x:v>
      </x:c>
      <x:c r="B14" s="13" t="n">
        <x:v>77</x:v>
      </x:c>
      <x:c r="C14" s="13" t="n">
        <x:v>80</x:v>
      </x:c>
      <x:c r="D14" s="12" t="n">
        <x:v>97.5</x:v>
      </x:c>
      <x:c r="E14" s="12" t="n">
        <x:v>20.5</x:v>
      </x:c>
      <x:c r="F14" s="12" t="n">
        <x:v>17.5</x:v>
      </x:c>
      <x:c r="G14" s="11" t="str">
        <x:v>Trevor Lawrence</x:v>
      </x:c>
      <x:c r="H14" s="11" t="str">
        <x:v>JAX</x:v>
      </x:c>
      <x:c r="I14" s="13" t="n">
        <x:v>7</x:v>
      </x:c>
      <x:c r="J14" s="12" t="n">
        <x:v>285.9</x:v>
      </x:c>
      <x:c r="K14" s="12" t="n">
        <x:v>303</x:v>
      </x:c>
      <x:c r="L14" s="12" t="n">
        <x:v>-17.1</x:v>
      </x:c>
      <x:c r="M14" s="12" t="n">
        <x:v>291.9</x:v>
      </x:c>
      <x:c r="N14" s="12" t="n">
        <x:v>13.8</x:v>
      </x:c>
      <x:c r="O14" s="12" t="n">
        <x:v>4.6</x:v>
      </x:c>
      <x:c r="P14" s="11" t="str">
        <x:v>High</x:v>
      </x:c>
      <x:c r="Q14" s="13" t="n">
        <x:v>11</x:v>
      </x:c>
      <x:c r="R14" s="13" t="n">
        <x:v>15</x:v>
      </x:c>
      <x:c r="S14" s="12" t="n">
        <x:v>525.1</x:v>
      </x:c>
      <x:c r="T14" s="12" t="n">
        <x:v>522</x:v>
      </x:c>
      <x:c r="U14" s="12" t="n">
        <x:v>73.4</x:v>
      </x:c>
      <x:c r="V14" s="12" t="n">
        <x:v>79</x:v>
      </x:c>
      <x:c r="W14" s="12" t="n">
        <x:v>20.6</x:v>
      </x:c>
      <x:c r="X14" s="13" t="n">
        <x:v>17</x:v>
      </x:c>
      <x:c r="Y14" s="11"/>
      <x:c r="Z14" s="11" t="str">
        <x:v>Veteran model: 2025 form, prior-year trend and same team pass/run forecast; team pass volume #11, rush volume #15</x:v>
      </x:c>
    </x:row>
    <x:row r="15" ht="19" customHeight="1">
      <x:c r="A15" s="13" t="n">
        <x:v>11</x:v>
      </x:c>
      <x:c r="B15" s="13" t="n">
        <x:v>78</x:v>
      </x:c>
      <x:c r="C15" s="13" t="n">
        <x:v>72</x:v>
      </x:c>
      <x:c r="D15" s="12" t="n">
        <x:v>83.4</x:v>
      </x:c>
      <x:c r="E15" s="12" t="n">
        <x:v>5.4</x:v>
      </x:c>
      <x:c r="F15" s="12" t="n">
        <x:v>11.4</x:v>
      </x:c>
      <x:c r="G15" s="11" t="str">
        <x:v>Justin Herbert</x:v>
      </x:c>
      <x:c r="H15" s="11" t="str">
        <x:v>LAC</x:v>
      </x:c>
      <x:c r="I15" s="13" t="n">
        <x:v>7</x:v>
      </x:c>
      <x:c r="J15" s="12" t="n">
        <x:v>289.6</x:v>
      </x:c>
      <x:c r="K15" s="12" t="n">
        <x:v>295</x:v>
      </x:c>
      <x:c r="L15" s="12" t="n">
        <x:v>-5.4</x:v>
      </x:c>
      <x:c r="M15" s="12" t="n">
        <x:v>291.5</x:v>
      </x:c>
      <x:c r="N15" s="12" t="n">
        <x:v>12.5</x:v>
      </x:c>
      <x:c r="O15" s="12" t="n">
        <x:v>3.9</x:v>
      </x:c>
      <x:c r="P15" s="11" t="str">
        <x:v>High</x:v>
      </x:c>
      <x:c r="Q15" s="13" t="n">
        <x:v>14</x:v>
      </x:c>
      <x:c r="R15" s="13" t="n">
        <x:v>16</x:v>
      </x:c>
      <x:c r="S15" s="12" t="n">
        <x:v>541.4</x:v>
      </x:c>
      <x:c r="T15" s="12" t="n">
        <x:v>533</x:v>
      </x:c>
      <x:c r="U15" s="12" t="n">
        <x:v>78.5</x:v>
      </x:c>
      <x:c r="V15" s="12" t="n">
        <x:v>70</x:v>
      </x:c>
      <x:c r="W15" s="12" t="n">
        <x:v>18.7</x:v>
      </x:c>
      <x:c r="X15" s="13" t="n">
        <x:v>16</x:v>
      </x:c>
      <x:c r="Y15" s="11"/>
      <x:c r="Z15" s="11" t="str">
        <x:v>Veteran model: 2025 form, prior-year trend and same team pass/run forecast; team pass volume #14, rush volume #16</x:v>
      </x:c>
    </x:row>
    <x:row r="16" ht="19" customHeight="1">
      <x:c r="A16" s="13" t="n">
        <x:v>12</x:v>
      </x:c>
      <x:c r="B16" s="13" t="n">
        <x:v>82</x:v>
      </x:c>
      <x:c r="C16" s="13" t="n">
        <x:v>95</x:v>
      </x:c>
      <x:c r="D16" s="12" t="n">
        <x:v>54</x:v>
      </x:c>
      <x:c r="E16" s="12" t="n">
        <x:v>-28</x:v>
      </x:c>
      <x:c r="F16" s="12" t="n">
        <x:v>-41</x:v>
      </x:c>
      <x:c r="G16" s="11" t="str">
        <x:v>Joe Burrow</x:v>
      </x:c>
      <x:c r="H16" s="11" t="str">
        <x:v>CIN</x:v>
      </x:c>
      <x:c r="I16" s="13" t="n">
        <x:v>6</x:v>
      </x:c>
      <x:c r="J16" s="12" t="n">
        <x:v>274.2</x:v>
      </x:c>
      <x:c r="K16" s="12" t="n">
        <x:v>306</x:v>
      </x:c>
      <x:c r="L16" s="12" t="n">
        <x:v>-31.8</x:v>
      </x:c>
      <x:c r="M16" s="12" t="n">
        <x:v>290.1</x:v>
      </x:c>
      <x:c r="N16" s="12" t="n">
        <x:v>12.4</x:v>
      </x:c>
      <x:c r="O16" s="12" t="n">
        <x:v>2.8</x:v>
      </x:c>
      <x:c r="P16" s="11" t="str">
        <x:v>Medium</x:v>
      </x:c>
      <x:c r="Q16" s="13" t="n">
        <x:v>1</x:v>
      </x:c>
      <x:c r="R16" s="13" t="n">
        <x:v>31</x:v>
      </x:c>
      <x:c r="S16" s="12" t="n">
        <x:v>578.2</x:v>
      </x:c>
      <x:c r="T16" s="12" t="n">
        <x:v>549</x:v>
      </x:c>
      <x:c r="U16" s="12" t="n">
        <x:v>35.1</x:v>
      </x:c>
      <x:c r="V16" s="12" t="n">
        <x:v>46</x:v>
      </x:c>
      <x:c r="W16" s="12" t="n">
        <x:v>17.4</x:v>
      </x:c>
      <x:c r="X16" s="13" t="n">
        <x:v>8</x:v>
      </x:c>
      <x:c r="Y16" s="11"/>
      <x:c r="Z16" s="11" t="str">
        <x:v>Veteran model: 2025 form, prior-year trend and same team pass/run forecast; team pass volume #1, rush volume #31</x:v>
      </x:c>
    </x:row>
    <x:row r="17" ht="19" customHeight="1">
      <x:c r="A17" s="13" t="n">
        <x:v>13</x:v>
      </x:c>
      <x:c r="B17" s="13" t="n">
        <x:v>87</x:v>
      </x:c>
      <x:c r="C17" s="13" t="n">
        <x:v>74</x:v>
      </x:c>
      <x:c r="D17" s="12" t="n">
        <x:v>132.8</x:v>
      </x:c>
      <x:c r="E17" s="12" t="n">
        <x:v>45.8</x:v>
      </x:c>
      <x:c r="F17" s="12" t="n">
        <x:v>58.8</x:v>
      </x:c>
      <x:c r="G17" s="11" t="str">
        <x:v>Jared Goff</x:v>
      </x:c>
      <x:c r="H17" s="11" t="str">
        <x:v>DET</x:v>
      </x:c>
      <x:c r="I17" s="13" t="n">
        <x:v>6</x:v>
      </x:c>
      <x:c r="J17" s="12" t="n">
        <x:v>288</x:v>
      </x:c>
      <x:c r="K17" s="12" t="n">
        <x:v>283</x:v>
      </x:c>
      <x:c r="L17" s="12" t="n">
        <x:v>5</x:v>
      </x:c>
      <x:c r="M17" s="12" t="n">
        <x:v>286.2</x:v>
      </x:c>
      <x:c r="N17" s="12" t="n">
        <x:v>15.3</x:v>
      </x:c>
      <x:c r="O17" s="12" t="n">
        <x:v>0</x:v>
      </x:c>
      <x:c r="P17" s="11" t="str">
        <x:v>High</x:v>
      </x:c>
      <x:c r="Q17" s="13" t="n">
        <x:v>10</x:v>
      </x:c>
      <x:c r="R17" s="13" t="n">
        <x:v>7</x:v>
      </x:c>
      <x:c r="S17" s="12" t="n">
        <x:v>584.7</x:v>
      </x:c>
      <x:c r="T17" s="12" t="n">
        <x:v>533</x:v>
      </x:c>
      <x:c r="U17" s="12" t="n">
        <x:v>28.8</x:v>
      </x:c>
      <x:c r="V17" s="12" t="n">
        <x:v>29</x:v>
      </x:c>
      <x:c r="W17" s="12" t="n">
        <x:v>17.9</x:v>
      </x:c>
      <x:c r="X17" s="13" t="n">
        <x:v>17</x:v>
      </x:c>
      <x:c r="Y17" s="11"/>
      <x:c r="Z17" s="11" t="str">
        <x:v>Veteran model: 2025 form, prior-year trend and same team pass/run forecast; team pass volume #10, rush volume #7</x:v>
      </x:c>
    </x:row>
    <x:row r="18" ht="19" customHeight="1">
      <x:c r="A18" s="13" t="n">
        <x:v>14</x:v>
      </x:c>
      <x:c r="B18" s="13" t="n">
        <x:v>91</x:v>
      </x:c>
      <x:c r="C18" s="13" t="n">
        <x:v>116</x:v>
      </x:c>
      <x:c r="D18" s="12" t="n">
        <x:v>120.7</x:v>
      </x:c>
      <x:c r="E18" s="12" t="n">
        <x:v>29.7</x:v>
      </x:c>
      <x:c r="F18" s="12" t="n">
        <x:v>4.7</x:v>
      </x:c>
      <x:c r="G18" s="11" t="str">
        <x:v>Brock Purdy</x:v>
      </x:c>
      <x:c r="H18" s="11" t="str">
        <x:v>SF</x:v>
      </x:c>
      <x:c r="I18" s="13" t="n">
        <x:v>8</x:v>
      </x:c>
      <x:c r="J18" s="12" t="n">
        <x:v>262.9</x:v>
      </x:c>
      <x:c r="K18" s="12" t="n">
        <x:v>303</x:v>
      </x:c>
      <x:c r="L18" s="12" t="n">
        <x:v>-40.1</x:v>
      </x:c>
      <x:c r="M18" s="12" t="n">
        <x:v>282.9</x:v>
      </x:c>
      <x:c r="N18" s="12" t="n">
        <x:v>11.6</x:v>
      </x:c>
      <x:c r="O18" s="12" t="n">
        <x:v>-2.3</x:v>
      </x:c>
      <x:c r="P18" s="11" t="str">
        <x:v>Medium</x:v>
      </x:c>
      <x:c r="Q18" s="13" t="n">
        <x:v>16</x:v>
      </x:c>
      <x:c r="R18" s="13" t="n">
        <x:v>9</x:v>
      </x:c>
      <x:c r="S18" s="12" t="n">
        <x:v>483.9</x:v>
      </x:c>
      <x:c r="T18" s="12" t="n">
        <x:v>494</x:v>
      </x:c>
      <x:c r="U18" s="12" t="n">
        <x:v>55.8</x:v>
      </x:c>
      <x:c r="V18" s="12" t="n">
        <x:v>64</x:v>
      </x:c>
      <x:c r="W18" s="12" t="n">
        <x:v>20.8</x:v>
      </x:c>
      <x:c r="X18" s="13" t="n">
        <x:v>9</x:v>
      </x:c>
      <x:c r="Y18" s="11"/>
      <x:c r="Z18" s="11" t="str">
        <x:v>Veteran model: 2025 form, prior-year trend and same team pass/run forecast; team pass volume #16, rush volume #9</x:v>
      </x:c>
    </x:row>
    <x:row r="19" ht="19" customHeight="1">
      <x:c r="A19" s="13" t="n">
        <x:v>15</x:v>
      </x:c>
      <x:c r="B19" s="13" t="n">
        <x:v>95</x:v>
      </x:c>
      <x:c r="C19" s="13" t="n">
        <x:v>107</x:v>
      </x:c>
      <x:c r="D19" s="12" t="n">
        <x:v>81.7</x:v>
      </x:c>
      <x:c r="E19" s="12" t="n">
        <x:v>-13.3</x:v>
      </x:c>
      <x:c r="F19" s="12" t="n">
        <x:v>-25.3</x:v>
      </x:c>
      <x:c r="G19" s="11" t="str">
        <x:v>Dak Prescott</x:v>
      </x:c>
      <x:c r="H19" s="11" t="str">
        <x:v>DAL</x:v>
      </x:c>
      <x:c r="I19" s="13" t="n">
        <x:v>14</x:v>
      </x:c>
      <x:c r="J19" s="12" t="n">
        <x:v>268.8</x:v>
      </x:c>
      <x:c r="K19" s="12" t="n">
        <x:v>304</x:v>
      </x:c>
      <x:c r="L19" s="12" t="n">
        <x:v>-35.2</x:v>
      </x:c>
      <x:c r="M19" s="12" t="n">
        <x:v>281.1</x:v>
      </x:c>
      <x:c r="N19" s="12" t="n">
        <x:v>12.6</x:v>
      </x:c>
      <x:c r="O19" s="12" t="n">
        <x:v>-3.8</x:v>
      </x:c>
      <x:c r="P19" s="11" t="str">
        <x:v>High</x:v>
      </x:c>
      <x:c r="Q19" s="13" t="n">
        <x:v>2</x:v>
      </x:c>
      <x:c r="R19" s="13" t="n">
        <x:v>20</x:v>
      </x:c>
      <x:c r="S19" s="12" t="n">
        <x:v>556.2</x:v>
      </x:c>
      <x:c r="T19" s="12" t="n">
        <x:v>580</x:v>
      </x:c>
      <x:c r="U19" s="12" t="n">
        <x:v>44.4</x:v>
      </x:c>
      <x:c r="V19" s="12" t="n">
        <x:v>44</x:v>
      </x:c>
      <x:c r="W19" s="12" t="n">
        <x:v>19</x:v>
      </x:c>
      <x:c r="X19" s="13" t="n">
        <x:v>17</x:v>
      </x:c>
      <x:c r="Y19" s="11"/>
      <x:c r="Z19" s="11" t="str">
        <x:v>Veteran model: 2025 form, prior-year trend and same team pass/run forecast; team pass volume #2, rush volume #20</x:v>
      </x:c>
    </x:row>
    <x:row r="20" ht="19" customHeight="1">
      <x:c r="A20" s="13" t="n">
        <x:v>16</x:v>
      </x:c>
      <x:c r="B20" s="13" t="n">
        <x:v>98</x:v>
      </x:c>
      <x:c r="C20" s="13" t="n">
        <x:v>119</x:v>
      </x:c>
      <x:c r="D20" s="12" t="n">
        <x:v>83.5</x:v>
      </x:c>
      <x:c r="E20" s="12" t="n">
        <x:v>-14.5</x:v>
      </x:c>
      <x:c r="F20" s="12" t="n">
        <x:v>-35.5</x:v>
      </x:c>
      <x:c r="G20" s="11" t="str">
        <x:v>Jaxson Dart</x:v>
      </x:c>
      <x:c r="H20" s="11" t="str">
        <x:v>NYG</x:v>
      </x:c>
      <x:c r="I20" s="13" t="n">
        <x:v>8</x:v>
      </x:c>
      <x:c r="J20" s="12" t="n">
        <x:v>263.5</x:v>
      </x:c>
      <x:c r="K20" s="12" t="n">
        <x:v>297</x:v>
      </x:c>
      <x:c r="L20" s="12" t="n">
        <x:v>-33.5</x:v>
      </x:c>
      <x:c r="M20" s="12" t="n">
        <x:v>280.2</x:v>
      </x:c>
      <x:c r="N20" s="12" t="n">
        <x:v>12.3</x:v>
      </x:c>
      <x:c r="O20" s="12" t="n">
        <x:v>-4.3</x:v>
      </x:c>
      <x:c r="P20" s="11" t="str">
        <x:v>Medium</x:v>
      </x:c>
      <x:c r="Q20" s="13" t="n">
        <x:v>19</x:v>
      </x:c>
      <x:c r="R20" s="13" t="n">
        <x:v>10</x:v>
      </x:c>
      <x:c r="S20" s="12" t="n">
        <x:v>455.8</x:v>
      </x:c>
      <x:c r="T20" s="12" t="n">
        <x:v>495</x:v>
      </x:c>
      <x:c r="U20" s="12" t="n">
        <x:v>98.9</x:v>
      </x:c>
      <x:c r="V20" s="12" t="n">
        <x:v>106</x:v>
      </x:c>
      <x:c r="W20" s="12" t="n">
        <x:v>17.6</x:v>
      </x:c>
      <x:c r="X20" s="13" t="n">
        <x:v>14</x:v>
      </x:c>
      <x:c r="Y20" s="11"/>
      <x:c r="Z20" s="11" t="str">
        <x:v>Veteran model: 2025 form, prior-year trend and same team pass/run forecast; team pass volume #19, rush volume #10</x:v>
      </x:c>
    </x:row>
    <x:row r="21" ht="19" customHeight="1">
      <x:c r="A21" s="13" t="n">
        <x:v>17</x:v>
      </x:c>
      <x:c r="B21" s="13" t="n">
        <x:v>100</x:v>
      </x:c>
      <x:c r="C21" s="13" t="n">
        <x:v>88</x:v>
      </x:c>
      <x:c r="D21" s="12" t="n">
        <x:v>139.7</x:v>
      </x:c>
      <x:c r="E21" s="12" t="n">
        <x:v>39.7</x:v>
      </x:c>
      <x:c r="F21" s="12" t="n">
        <x:v>51.7</x:v>
      </x:c>
      <x:c r="G21" s="11" t="str">
        <x:v>Baker Mayfield</x:v>
      </x:c>
      <x:c r="H21" s="11" t="str">
        <x:v>TB</x:v>
      </x:c>
      <x:c r="I21" s="13" t="n">
        <x:v>10</x:v>
      </x:c>
      <x:c r="J21" s="12" t="n">
        <x:v>282.2</x:v>
      </x:c>
      <x:c r="K21" s="12" t="n">
        <x:v>275</x:v>
      </x:c>
      <x:c r="L21" s="12" t="n">
        <x:v>7.2</x:v>
      </x:c>
      <x:c r="M21" s="12" t="n">
        <x:v>279.7</x:v>
      </x:c>
      <x:c r="N21" s="12" t="n">
        <x:v>13</x:v>
      </x:c>
      <x:c r="O21" s="12" t="n">
        <x:v>-5</x:v>
      </x:c>
      <x:c r="P21" s="11" t="str">
        <x:v>High</x:v>
      </x:c>
      <x:c r="Q21" s="13" t="n">
        <x:v>12</x:v>
      </x:c>
      <x:c r="R21" s="13" t="n">
        <x:v>11</x:v>
      </x:c>
      <x:c r="S21" s="12" t="n">
        <x:v>545.9</x:v>
      </x:c>
      <x:c r="T21" s="12" t="n">
        <x:v>526</x:v>
      </x:c>
      <x:c r="U21" s="12" t="n">
        <x:v>61.8</x:v>
      </x:c>
      <x:c r="V21" s="12" t="n">
        <x:v>63</x:v>
      </x:c>
      <x:c r="W21" s="12" t="n">
        <x:v>16.6</x:v>
      </x:c>
      <x:c r="X21" s="13" t="n">
        <x:v>17</x:v>
      </x:c>
      <x:c r="Y21" s="11"/>
      <x:c r="Z21" s="11" t="str">
        <x:v>Veteran model: 2025 form, prior-year trend and same team pass/run forecast; team pass volume #12, rush volume #11</x:v>
      </x:c>
    </x:row>
    <x:row r="22" ht="19" customHeight="1">
      <x:c r="A22" s="13" t="n">
        <x:v>18</x:v>
      </x:c>
      <x:c r="B22" s="13" t="n">
        <x:v>112</x:v>
      </x:c>
      <x:c r="C22" s="13" t="n">
        <x:v>136</x:v>
      </x:c>
      <x:c r="D22" s="12" t="n">
        <x:v>159.1</x:v>
      </x:c>
      <x:c r="E22" s="12" t="n">
        <x:v>47.1</x:v>
      </x:c>
      <x:c r="F22" s="12" t="n">
        <x:v>23.1</x:v>
      </x:c>
      <x:c r="G22" s="11" t="str">
        <x:v>Kyler Murray</x:v>
      </x:c>
      <x:c r="H22" s="11" t="str">
        <x:v>MIN</x:v>
      </x:c>
      <x:c r="I22" s="13" t="n">
        <x:v>6</x:v>
      </x:c>
      <x:c r="J22" s="12" t="n">
        <x:v>251.7</x:v>
      </x:c>
      <x:c r="K22" s="12" t="n">
        <x:v>275</x:v>
      </x:c>
      <x:c r="L22" s="12" t="n">
        <x:v>-23.3</x:v>
      </x:c>
      <x:c r="M22" s="12" t="n">
        <x:v>269.2</x:v>
      </x:c>
      <x:c r="N22" s="12" t="n">
        <x:v>10.3</x:v>
      </x:c>
      <x:c r="O22" s="12" t="n">
        <x:v>-10.3</x:v>
      </x:c>
      <x:c r="P22" s="11" t="str">
        <x:v>Low</x:v>
      </x:c>
      <x:c r="Q22" s="13" t="n">
        <x:v>26</x:v>
      </x:c>
      <x:c r="R22" s="13" t="n">
        <x:v>27</x:v>
      </x:c>
      <x:c r="S22" s="12" t="n">
        <x:v>477</x:v>
      </x:c>
      <x:c r="T22" s="12" t="n">
        <x:v>479</x:v>
      </x:c>
      <x:c r="U22" s="12" t="n">
        <x:v>82.3</x:v>
      </x:c>
      <x:c r="V22" s="12" t="n">
        <x:v>85</x:v>
      </x:c>
      <x:c r="W22" s="12" t="n">
        <x:v>16.2</x:v>
      </x:c>
      <x:c r="X22" s="13" t="n">
        <x:v>5</x:v>
      </x:c>
      <x:c r="Y22" s="11"/>
      <x:c r="Z22" s="11" t="str">
        <x:v>Veteran model: 2025 form, prior-year trend and new team pass/run forecast; team pass volume #26, rush volume #27</x:v>
      </x:c>
    </x:row>
    <x:row r="23" ht="19" customHeight="1">
      <x:c r="A23" s="13" t="n">
        <x:v>19</x:v>
      </x:c>
      <x:c r="B23" s="13" t="n">
        <x:v>123</x:v>
      </x:c>
      <x:c r="C23" s="13" t="n">
        <x:v>138</x:v>
      </x:c>
      <x:c r="D23" s="12" t="n">
        <x:v>146.6</x:v>
      </x:c>
      <x:c r="E23" s="12" t="n">
        <x:v>23.6</x:v>
      </x:c>
      <x:c r="F23" s="12" t="n">
        <x:v>8.6</x:v>
      </x:c>
      <x:c r="G23" s="11" t="str">
        <x:v>Jordan Love</x:v>
      </x:c>
      <x:c r="H23" s="11" t="str">
        <x:v>GB</x:v>
      </x:c>
      <x:c r="I23" s="13" t="n">
        <x:v>11</x:v>
      </x:c>
      <x:c r="J23" s="12" t="n">
        <x:v>257.4</x:v>
      </x:c>
      <x:c r="K23" s="12" t="n">
        <x:v>279</x:v>
      </x:c>
      <x:c r="L23" s="12" t="n">
        <x:v>-21.6</x:v>
      </x:c>
      <x:c r="M23" s="12" t="n">
        <x:v>265</x:v>
      </x:c>
      <x:c r="N23" s="12" t="n">
        <x:v>13.3</x:v>
      </x:c>
      <x:c r="O23" s="12" t="n">
        <x:v>-16.6</x:v>
      </x:c>
      <x:c r="P23" s="11" t="str">
        <x:v>High</x:v>
      </x:c>
      <x:c r="Q23" s="13" t="n">
        <x:v>30</x:v>
      </x:c>
      <x:c r="R23" s="13" t="n">
        <x:v>4</x:v>
      </x:c>
      <x:c r="S23" s="12" t="n">
        <x:v>506.3</x:v>
      </x:c>
      <x:c r="T23" s="12" t="n">
        <x:v>501</x:v>
      </x:c>
      <x:c r="U23" s="12" t="n">
        <x:v>46</x:v>
      </x:c>
      <x:c r="V23" s="12" t="n">
        <x:v>51</x:v>
      </x:c>
      <x:c r="W23" s="12" t="n">
        <x:v>16.1</x:v>
      </x:c>
      <x:c r="X23" s="13" t="n">
        <x:v>15</x:v>
      </x:c>
      <x:c r="Y23" s="11"/>
      <x:c r="Z23" s="11" t="str">
        <x:v>Veteran model: 2025 form, prior-year trend and same team pass/run forecast; team pass volume #30, rush volume #4</x:v>
      </x:c>
    </x:row>
    <x:row r="24" ht="19" customHeight="1">
      <x:c r="A24" s="13" t="n">
        <x:v>20</x:v>
      </x:c>
      <x:c r="B24" s="13" t="n">
        <x:v>125</x:v>
      </x:c>
      <x:c r="C24" s="13" t="n">
        <x:v>121</x:v>
      </x:c>
      <x:c r="D24" s="12" t="n">
        <x:v>177.5</x:v>
      </x:c>
      <x:c r="E24" s="12" t="n">
        <x:v>52.5</x:v>
      </x:c>
      <x:c r="F24" s="12" t="n">
        <x:v>56.5</x:v>
      </x:c>
      <x:c r="G24" s="11" t="str">
        <x:v>Sam Darnold</x:v>
      </x:c>
      <x:c r="H24" s="11" t="str">
        <x:v>SEA</x:v>
      </x:c>
      <x:c r="I24" s="13" t="n">
        <x:v>11</x:v>
      </x:c>
      <x:c r="J24" s="12" t="n">
        <x:v>263.8</x:v>
      </x:c>
      <x:c r="K24" s="12" t="n">
        <x:v>263</x:v>
      </x:c>
      <x:c r="L24" s="12" t="n">
        <x:v>0.8</x:v>
      </x:c>
      <x:c r="M24" s="12" t="n">
        <x:v>263.5</x:v>
      </x:c>
      <x:c r="N24" s="12" t="n">
        <x:v>12.9</x:v>
      </x:c>
      <x:c r="O24" s="12" t="n">
        <x:v>-17.2</x:v>
      </x:c>
      <x:c r="P24" s="11" t="str">
        <x:v>High</x:v>
      </x:c>
      <x:c r="Q24" s="13" t="n">
        <x:v>23</x:v>
      </x:c>
      <x:c r="R24" s="13" t="n">
        <x:v>21</x:v>
      </x:c>
      <x:c r="S24" s="12" t="n">
        <x:v>541.9</x:v>
      </x:c>
      <x:c r="T24" s="12" t="n">
        <x:v>478</x:v>
      </x:c>
      <x:c r="U24" s="12" t="n">
        <x:v>40</x:v>
      </x:c>
      <x:c r="V24" s="12" t="n">
        <x:v>44</x:v>
      </x:c>
      <x:c r="W24" s="12" t="n">
        <x:v>14.7</x:v>
      </x:c>
      <x:c r="X24" s="13" t="n">
        <x:v>17</x:v>
      </x:c>
      <x:c r="Y24" s="11"/>
      <x:c r="Z24" s="11" t="str">
        <x:v>Veteran model: 2025 form, prior-year trend and same team pass/run forecast; team pass volume #23, rush volume #21</x:v>
      </x:c>
    </x:row>
    <x:row r="25" ht="19" customHeight="1">
      <x:c r="A25" s="13" t="n">
        <x:v>21</x:v>
      </x:c>
      <x:c r="B25" s="13" t="n">
        <x:v>135</x:v>
      </x:c>
      <x:c r="C25" s="13" t="n">
        <x:v>115</x:v>
      </x:c>
      <x:c r="D25" s="12" t="n">
        <x:v>204.9</x:v>
      </x:c>
      <x:c r="E25" s="12" t="n">
        <x:v>69.9</x:v>
      </x:c>
      <x:c r="F25" s="12" t="n">
        <x:v>89.9</x:v>
      </x:c>
      <x:c r="G25" s="11" t="str">
        <x:v>C.J. Stroud</x:v>
      </x:c>
      <x:c r="H25" s="11" t="str">
        <x:v>HOU</x:v>
      </x:c>
      <x:c r="I25" s="13" t="n">
        <x:v>8</x:v>
      </x:c>
      <x:c r="J25" s="12" t="n">
        <x:v>265.6</x:v>
      </x:c>
      <x:c r="K25" s="12" t="n">
        <x:v>248</x:v>
      </x:c>
      <x:c r="L25" s="12" t="n">
        <x:v>17.6</x:v>
      </x:c>
      <x:c r="M25" s="12" t="n">
        <x:v>259.4</x:v>
      </x:c>
      <x:c r="N25" s="12" t="n">
        <x:v>12.8</x:v>
      </x:c>
      <x:c r="O25" s="12" t="n">
        <x:v>-20.2</x:v>
      </x:c>
      <x:c r="P25" s="11" t="str">
        <x:v>High</x:v>
      </x:c>
      <x:c r="Q25" s="13" t="n">
        <x:v>9</x:v>
      </x:c>
      <x:c r="R25" s="13" t="n">
        <x:v>17</x:v>
      </x:c>
      <x:c r="S25" s="12" t="n">
        <x:v>521.9</x:v>
      </x:c>
      <x:c r="T25" s="12" t="n">
        <x:v>505</x:v>
      </x:c>
      <x:c r="U25" s="12" t="n">
        <x:v>58.1</x:v>
      </x:c>
      <x:c r="V25" s="12" t="n">
        <x:v>53</x:v>
      </x:c>
      <x:c r="W25" s="12" t="n">
        <x:v>15.5</x:v>
      </x:c>
      <x:c r="X25" s="13" t="n">
        <x:v>14</x:v>
      </x:c>
      <x:c r="Y25" s="11"/>
      <x:c r="Z25" s="11" t="str">
        <x:v>Veteran model: 2025 form, prior-year trend and same team pass/run forecast; team pass volume #9, rush volume #17</x:v>
      </x:c>
    </x:row>
    <x:row r="26" ht="19" customHeight="1">
      <x:c r="A26" s="13" t="n">
        <x:v>22</x:v>
      </x:c>
      <x:c r="B26" s="13" t="n">
        <x:v>120</x:v>
      </x:c>
      <x:c r="C26" s="13" t="n">
        <x:v>177</x:v>
      </x:c>
      <x:c r="D26" s="12" t="n">
        <x:v>192.5</x:v>
      </x:c>
      <x:c r="E26" s="12" t="n">
        <x:v>72.5</x:v>
      </x:c>
      <x:c r="F26" s="12" t="n">
        <x:v>15.5</x:v>
      </x:c>
      <x:c r="G26" s="11" t="str">
        <x:v>Malik Willis</x:v>
      </x:c>
      <x:c r="H26" s="11" t="str">
        <x:v>MIA</x:v>
      </x:c>
      <x:c r="I26" s="13" t="n">
        <x:v>6</x:v>
      </x:c>
      <x:c r="J26" s="12" t="n">
        <x:v>216.9</x:v>
      </x:c>
      <x:c r="K26" s="12" t="n">
        <x:v>270</x:v>
      </x:c>
      <x:c r="L26" s="12" t="n">
        <x:v>-53.1</x:v>
      </x:c>
      <x:c r="M26" s="12" t="n">
        <x:v>256.7</x:v>
      </x:c>
      <x:c r="N26" s="12" t="n">
        <x:v>9.2</x:v>
      </x:c>
      <x:c r="O26" s="12" t="n">
        <x:v>-16</x:v>
      </x:c>
      <x:c r="P26" s="11" t="str">
        <x:v>Low</x:v>
      </x:c>
      <x:c r="Q26" s="13" t="n">
        <x:v>25</x:v>
      </x:c>
      <x:c r="R26" s="13" t="n">
        <x:v>24</x:v>
      </x:c>
      <x:c r="S26" s="12" t="n">
        <x:v>353.9</x:v>
      </x:c>
      <x:c r="T26" s="12" t="n">
        <x:v>419</x:v>
      </x:c>
      <x:c r="U26" s="12" t="n">
        <x:v>88.6</x:v>
      </x:c>
      <x:c r="V26" s="12" t="n">
        <x:v>125</x:v>
      </x:c>
      <x:c r="W26" s="12" t="n">
        <x:v>12.8</x:v>
      </x:c>
      <x:c r="X26" s="13" t="n">
        <x:v>4</x:v>
      </x:c>
      <x:c r="Y26" s="11"/>
      <x:c r="Z26" s="11" t="str">
        <x:v>Veteran model: 2025 form, prior-year trend and new team pass/run forecast; team pass volume #25, rush volume #24</x:v>
      </x:c>
    </x:row>
    <x:row r="27" ht="19" customHeight="1">
      <x:c r="A27" s="13" t="n">
        <x:v>23</x:v>
      </x:c>
      <x:c r="B27" s="13" t="n">
        <x:v>141</x:v>
      </x:c>
      <x:c r="C27" s="13" t="n">
        <x:v>106</x:v>
      </x:c>
      <x:c r="D27" s="12" t="n">
        <x:v>206.2</x:v>
      </x:c>
      <x:c r="E27" s="12" t="n">
        <x:v>65.2</x:v>
      </x:c>
      <x:c r="F27" s="12" t="n">
        <x:v>100.2</x:v>
      </x:c>
      <x:c r="G27" s="11" t="str">
        <x:v>Daniel Jones</x:v>
      </x:c>
      <x:c r="H27" s="11" t="str">
        <x:v>IND</x:v>
      </x:c>
      <x:c r="I27" s="13" t="n">
        <x:v>13</x:v>
      </x:c>
      <x:c r="J27" s="12" t="n">
        <x:v>268.2</x:v>
      </x:c>
      <x:c r="K27" s="12" t="n">
        <x:v>224</x:v>
      </x:c>
      <x:c r="L27" s="12" t="n">
        <x:v>44.2</x:v>
      </x:c>
      <x:c r="M27" s="12" t="n">
        <x:v>252.7</x:v>
      </x:c>
      <x:c r="N27" s="12" t="n">
        <x:v>11.8</x:v>
      </x:c>
      <x:c r="O27" s="12" t="n">
        <x:v>-23.3</x:v>
      </x:c>
      <x:c r="P27" s="11" t="str">
        <x:v>High</x:v>
      </x:c>
      <x:c r="Q27" s="13" t="n">
        <x:v>21</x:v>
      </x:c>
      <x:c r="R27" s="13" t="n">
        <x:v>13</x:v>
      </x:c>
      <x:c r="S27" s="12" t="n">
        <x:v>479.4</x:v>
      </x:c>
      <x:c r="T27" s="12" t="n">
        <x:v>469</x:v>
      </x:c>
      <x:c r="U27" s="12" t="n">
        <x:v>69.7</x:v>
      </x:c>
      <x:c r="V27" s="12" t="n">
        <x:v>47</x:v>
      </x:c>
      <x:c r="W27" s="12" t="n">
        <x:v>18</x:v>
      </x:c>
      <x:c r="X27" s="13" t="n">
        <x:v>13</x:v>
      </x:c>
      <x:c r="Y27" s="11"/>
      <x:c r="Z27" s="11" t="str">
        <x:v>Veteran model: 2025 form, prior-year trend and same team pass/run forecast; team pass volume #21, rush volume #13</x:v>
      </x:c>
    </x:row>
    <x:row r="28" ht="19" customHeight="1">
      <x:c r="A28" s="13" t="n">
        <x:v>24</x:v>
      </x:c>
      <x:c r="B28" s="13" t="n">
        <x:v>137</x:v>
      </x:c>
      <x:c r="C28" s="13" t="n">
        <x:v>169</x:v>
      </x:c>
      <x:c r="D28" s="12" t="n">
        <x:v>169.4</x:v>
      </x:c>
      <x:c r="E28" s="12" t="n">
        <x:v>32.4</x:v>
      </x:c>
      <x:c r="F28" s="12" t="n">
        <x:v>0.4</x:v>
      </x:c>
      <x:c r="G28" s="11" t="str">
        <x:v>Tyler Shough</x:v>
      </x:c>
      <x:c r="H28" s="11" t="str">
        <x:v>NO</x:v>
      </x:c>
      <x:c r="I28" s="13" t="n">
        <x:v>8</x:v>
      </x:c>
      <x:c r="J28" s="12" t="n">
        <x:v>233.5</x:v>
      </x:c>
      <x:c r="K28" s="12" t="n">
        <x:v>271</x:v>
      </x:c>
      <x:c r="L28" s="12" t="n">
        <x:v>-37.5</x:v>
      </x:c>
      <x:c r="M28" s="12" t="n">
        <x:v>252.3</x:v>
      </x:c>
      <x:c r="N28" s="12" t="n">
        <x:v>10.8</x:v>
      </x:c>
      <x:c r="O28" s="12" t="n">
        <x:v>-21.5</x:v>
      </x:c>
      <x:c r="P28" s="11" t="str">
        <x:v>Medium</x:v>
      </x:c>
      <x:c r="Q28" s="13" t="n">
        <x:v>8</x:v>
      </x:c>
      <x:c r="R28" s="13" t="n">
        <x:v>22</x:v>
      </x:c>
      <x:c r="S28" s="12" t="n">
        <x:v>476.7</x:v>
      </x:c>
      <x:c r="T28" s="12" t="n">
        <x:v>539</x:v>
      </x:c>
      <x:c r="U28" s="12" t="n">
        <x:v>64.3</x:v>
      </x:c>
      <x:c r="V28" s="12" t="n">
        <x:v>84</x:v>
      </x:c>
      <x:c r="W28" s="12" t="n">
        <x:v>14.9</x:v>
      </x:c>
      <x:c r="X28" s="13" t="n">
        <x:v>11</x:v>
      </x:c>
      <x:c r="Y28" s="11"/>
      <x:c r="Z28" s="11" t="str">
        <x:v>Veteran model: 2025 form, prior-year trend and same team pass/run forecast; team pass volume #8, rush volume #22</x:v>
      </x:c>
    </x:row>
    <x:row r="29" ht="19" customHeight="1">
      <x:c r="A29" s="13" t="n">
        <x:v>25</x:v>
      </x:c>
      <x:c r="B29" s="13" t="n">
        <x:v>155</x:v>
      </x:c>
      <x:c r="C29" s="13" t="n">
        <x:v>159</x:v>
      </x:c>
      <x:c r="D29" s="12" t="n">
        <x:v>229.7</x:v>
      </x:c>
      <x:c r="E29" s="12" t="n">
        <x:v>74.7</x:v>
      </x:c>
      <x:c r="F29" s="12" t="n">
        <x:v>70.7</x:v>
      </x:c>
      <x:c r="G29" s="11" t="str">
        <x:v>Bryce Young</x:v>
      </x:c>
      <x:c r="H29" s="11" t="str">
        <x:v>CAR</x:v>
      </x:c>
      <x:c r="I29" s="13" t="n">
        <x:v>5</x:v>
      </x:c>
      <x:c r="J29" s="12" t="n">
        <x:v>246.9</x:v>
      </x:c>
      <x:c r="K29" s="12" t="n">
        <x:v>236</x:v>
      </x:c>
      <x:c r="L29" s="12" t="n">
        <x:v>10.9</x:v>
      </x:c>
      <x:c r="M29" s="12" t="n">
        <x:v>243.1</x:v>
      </x:c>
      <x:c r="N29" s="12" t="n">
        <x:v>12.3</x:v>
      </x:c>
      <x:c r="O29" s="12" t="n">
        <x:v>-31.2</x:v>
      </x:c>
      <x:c r="P29" s="11" t="str">
        <x:v>High</x:v>
      </x:c>
      <x:c r="Q29" s="13" t="n">
        <x:v>22</x:v>
      </x:c>
      <x:c r="R29" s="13" t="n">
        <x:v>23</x:v>
      </x:c>
      <x:c r="S29" s="12" t="n">
        <x:v>508.1</x:v>
      </x:c>
      <x:c r="T29" s="12" t="n">
        <x:v>493</x:v>
      </x:c>
      <x:c r="U29" s="12" t="n">
        <x:v>57.1</x:v>
      </x:c>
      <x:c r="V29" s="12" t="n">
        <x:v>51</x:v>
      </x:c>
      <x:c r="W29" s="12" t="n">
        <x:v>14.3</x:v>
      </x:c>
      <x:c r="X29" s="13" t="n">
        <x:v>16</x:v>
      </x:c>
      <x:c r="Y29" s="11"/>
      <x:c r="Z29" s="11" t="str">
        <x:v>Veteran model: 2025 form, prior-year trend and same team pass/run forecast; team pass volume #22, rush volume #23</x:v>
      </x:c>
    </x:row>
    <x:row r="30" ht="19" customHeight="1">
      <x:c r="A30" s="13" t="n">
        <x:v>26</x:v>
      </x:c>
      <x:c r="B30" s="13" t="n">
        <x:v>172</x:v>
      </x:c>
      <x:c r="C30" s="13" t="n">
        <x:v>188</x:v>
      </x:c>
      <x:c r="D30" s="12" t="n">
        <x:v>208.2</x:v>
      </x:c>
      <x:c r="E30" s="12" t="n">
        <x:v>36.2</x:v>
      </x:c>
      <x:c r="F30" s="12" t="n">
        <x:v>20.2</x:v>
      </x:c>
      <x:c r="G30" s="11" t="str">
        <x:v>Cam Ward</x:v>
      </x:c>
      <x:c r="H30" s="11" t="str">
        <x:v>TEN</x:v>
      </x:c>
      <x:c r="I30" s="13" t="n">
        <x:v>9</x:v>
      </x:c>
      <x:c r="J30" s="12" t="n">
        <x:v>225.4</x:v>
      </x:c>
      <x:c r="K30" s="12" t="n">
        <x:v>228</x:v>
      </x:c>
      <x:c r="L30" s="12" t="n">
        <x:v>-2.6</x:v>
      </x:c>
      <x:c r="M30" s="12" t="n">
        <x:v>226.7</x:v>
      </x:c>
      <x:c r="N30" s="12" t="n">
        <x:v>11.6</x:v>
      </x:c>
      <x:c r="O30" s="12" t="n">
        <x:v>-40.6</x:v>
      </x:c>
      <x:c r="P30" s="11" t="str">
        <x:v>Medium</x:v>
      </x:c>
      <x:c r="Q30" s="13" t="n">
        <x:v>18</x:v>
      </x:c>
      <x:c r="R30" s="13" t="n">
        <x:v>30</x:v>
      </x:c>
      <x:c r="S30" s="12" t="n">
        <x:v>501.2</x:v>
      </x:c>
      <x:c r="T30" s="12" t="n">
        <x:v>541</x:v>
      </x:c>
      <x:c r="U30" s="12" t="n">
        <x:v>51.4</x:v>
      </x:c>
      <x:c r="V30" s="12" t="n">
        <x:v>46</x:v>
      </x:c>
      <x:c r="W30" s="12" t="n">
        <x:v>11.4</x:v>
      </x:c>
      <x:c r="X30" s="13" t="n">
        <x:v>17</x:v>
      </x:c>
      <x:c r="Y30" s="11"/>
      <x:c r="Z30" s="11" t="str">
        <x:v>Veteran model: 2025 form, prior-year trend and same team pass/run forecast; team pass volume #18, rush volume #30</x:v>
      </x:c>
    </x:row>
    <x:row r="31" ht="19" customHeight="1">
      <x:c r="A31" s="13" t="n">
        <x:v>27</x:v>
      </x:c>
      <x:c r="B31" s="13" t="n">
        <x:v>185</x:v>
      </x:c>
      <x:c r="C31" s="13" t="n">
        <x:v>112</x:v>
      </x:c>
      <x:c r="D31" s="12" t="n">
        <x:v>178.3</x:v>
      </x:c>
      <x:c r="E31" s="12" t="n">
        <x:v>-6.7</x:v>
      </x:c>
      <x:c r="F31" s="12" t="n">
        <x:v>66.3</x:v>
      </x:c>
      <x:c r="G31" s="11" t="str">
        <x:v>Fernando Mendoza</x:v>
      </x:c>
      <x:c r="H31" s="11" t="str">
        <x:v>LV</x:v>
      </x:c>
      <x:c r="I31" s="13" t="n">
        <x:v>13</x:v>
      </x:c>
      <x:c r="J31" s="12" t="n">
        <x:v>266.6</x:v>
      </x:c>
      <x:c r="K31" s="12" t="n">
        <x:v>212</x:v>
      </x:c>
      <x:c r="L31" s="12" t="n">
        <x:v>54.6</x:v>
      </x:c>
      <x:c r="M31" s="12" t="n">
        <x:v>225.6</x:v>
      </x:c>
      <x:c r="N31" s="12" t="n">
        <x:v>13.1</x:v>
      </x:c>
      <x:c r="O31" s="12" t="n">
        <x:v>-46.7</x:v>
      </x:c>
      <x:c r="P31" s="11" t="str">
        <x:v>Low</x:v>
      </x:c>
      <x:c r="Q31" s="13" t="n">
        <x:v>15</x:v>
      </x:c>
      <x:c r="R31" s="13" t="n">
        <x:v>32</x:v>
      </x:c>
      <x:c r="S31" s="12" t="n">
        <x:v>0</x:v>
      </x:c>
      <x:c r="T31" s="12" t="n">
        <x:v>434</x:v>
      </x:c>
      <x:c r="U31" s="12" t="n">
        <x:v>0</x:v>
      </x:c>
      <x:c r="V31" s="12" t="n">
        <x:v>53</x:v>
      </x:c>
      <x:c r="W31" s="12"/>
      <x:c r="X31" s="13"/>
      <x:c r="Y31" s="11"/>
      <x:c r="Z31" s="11" t="str">
        <x:v>Rookie model: pick 1, age and destination-team environment; team pass volume #15, rush volume #32</x:v>
      </x:c>
    </x:row>
    <x:row r="32" ht="19" customHeight="1">
      <x:c r="A32" s="13" t="n">
        <x:v>28</x:v>
      </x:c>
      <x:c r="B32" s="13" t="n">
        <x:v>171</x:v>
      </x:c>
      <x:c r="C32" s="13" t="n">
        <x:v>146</x:v>
      </x:c>
      <x:c r="D32" s="12" t="n">
        <x:v>227.9</x:v>
      </x:c>
      <x:c r="E32" s="12" t="n">
        <x:v>56.9</x:v>
      </x:c>
      <x:c r="F32" s="12" t="n">
        <x:v>81.9</x:v>
      </x:c>
      <x:c r="G32" s="11" t="str">
        <x:v>Aaron Rodgers</x:v>
      </x:c>
      <x:c r="H32" s="11" t="str">
        <x:v>PIT</x:v>
      </x:c>
      <x:c r="I32" s="13" t="n">
        <x:v>9</x:v>
      </x:c>
      <x:c r="J32" s="12" t="n">
        <x:v>246.1</x:v>
      </x:c>
      <x:c r="K32" s="12" t="n">
        <x:v>177</x:v>
      </x:c>
      <x:c r="L32" s="12" t="n">
        <x:v>69.1</x:v>
      </x:c>
      <x:c r="M32" s="12" t="n">
        <x:v>221.9</x:v>
      </x:c>
      <x:c r="N32" s="12" t="n">
        <x:v>10.7</x:v>
      </x:c>
      <x:c r="O32" s="12" t="n">
        <x:v>-40.5</x:v>
      </x:c>
      <x:c r="P32" s="11" t="str">
        <x:v>High</x:v>
      </x:c>
      <x:c r="Q32" s="13" t="n">
        <x:v>24</x:v>
      </x:c>
      <x:c r="R32" s="13" t="n">
        <x:v>18</x:v>
      </x:c>
      <x:c r="S32" s="12" t="n">
        <x:v>549.6</x:v>
      </x:c>
      <x:c r="T32" s="12" t="n">
        <x:v>403</x:v>
      </x:c>
      <x:c r="U32" s="12" t="n">
        <x:v>23.6</x:v>
      </x:c>
      <x:c r="V32" s="12" t="n">
        <x:v>21</x:v>
      </x:c>
      <x:c r="W32" s="12" t="n">
        <x:v>14.6</x:v>
      </x:c>
      <x:c r="X32" s="13" t="n">
        <x:v>16</x:v>
      </x:c>
      <x:c r="Y32" s="11"/>
      <x:c r="Z32" s="11" t="str">
        <x:v>Veteran model: 2025 form, prior-year trend and same team pass/run forecast; team pass volume #24, rush volume #18</x:v>
      </x:c>
    </x:row>
    <x:row r="33" ht="19" customHeight="1">
      <x:c r="A33" s="13" t="n">
        <x:v>29</x:v>
      </x:c>
      <x:c r="B33" s="13" t="n">
        <x:v>228</x:v>
      </x:c>
      <x:c r="C33" s="13" t="n">
        <x:v>226</x:v>
      </x:c>
      <x:c r="D33" s="12" t="n">
        <x:v>236.5</x:v>
      </x:c>
      <x:c r="E33" s="12" t="n">
        <x:v>8.5</x:v>
      </x:c>
      <x:c r="F33" s="12" t="n">
        <x:v>10.5</x:v>
      </x:c>
      <x:c r="G33" s="11" t="str">
        <x:v>Tua Tagovailoa</x:v>
      </x:c>
      <x:c r="H33" s="11" t="str">
        <x:v>ATL</x:v>
      </x:c>
      <x:c r="I33" s="13" t="n">
        <x:v>11</x:v>
      </x:c>
      <x:c r="J33" s="12" t="n">
        <x:v>203.1</x:v>
      </x:c>
      <x:c r="K33" s="12" t="n">
        <x:v>138</x:v>
      </x:c>
      <x:c r="L33" s="12" t="n">
        <x:v>65.1</x:v>
      </x:c>
      <x:c r="M33" s="12" t="n">
        <x:v>180.3</x:v>
      </x:c>
      <x:c r="N33" s="12" t="n">
        <x:v>11.5</x:v>
      </x:c>
      <x:c r="O33" s="12" t="n">
        <x:v>-71.6</x:v>
      </x:c>
      <x:c r="P33" s="11" t="str">
        <x:v>High</x:v>
      </x:c>
      <x:c r="Q33" s="13" t="n">
        <x:v>17</x:v>
      </x:c>
      <x:c r="R33" s="13" t="n">
        <x:v>5</x:v>
      </x:c>
      <x:c r="S33" s="12" t="n">
        <x:v>486.9</x:v>
      </x:c>
      <x:c r="T33" s="12" t="n">
        <x:v>308</x:v>
      </x:c>
      <x:c r="U33" s="12" t="n">
        <x:v>29.4</x:v>
      </x:c>
      <x:c r="V33" s="12" t="n">
        <x:v>20</x:v>
      </x:c>
      <x:c r="W33" s="12" t="n">
        <x:v>12.5</x:v>
      </x:c>
      <x:c r="X33" s="13" t="n">
        <x:v>14</x:v>
      </x:c>
      <x:c r="Y33" s="11"/>
      <x:c r="Z33" s="11" t="str">
        <x:v>Veteran model: 2025 form, prior-year trend and new team pass/run forecast; team pass volume #17, rush volume #5</x:v>
      </x:c>
    </x:row>
    <x:row r="34" ht="19" customHeight="1">
      <x:c r="A34" s="13" t="n">
        <x:v>30</x:v>
      </x:c>
      <x:c r="B34" s="13" t="n">
        <x:v>232</x:v>
      </x:c>
      <x:c r="C34" s="13" t="n">
        <x:v>213</x:v>
      </x:c>
      <x:c r="D34" s="12" t="n">
        <x:v>227.9</x:v>
      </x:c>
      <x:c r="E34" s="12" t="n">
        <x:v>-4.1</x:v>
      </x:c>
      <x:c r="F34" s="12" t="n">
        <x:v>14.9</x:v>
      </x:c>
      <x:c r="G34" s="11" t="str">
        <x:v>Michael Penix</x:v>
      </x:c>
      <x:c r="H34" s="11" t="str">
        <x:v>ATL</x:v>
      </x:c>
      <x:c r="I34" s="13" t="n">
        <x:v>11</x:v>
      </x:c>
      <x:c r="J34" s="12" t="n">
        <x:v>202.8</x:v>
      </x:c>
      <x:c r="K34" s="12" t="n">
        <x:v>108</x:v>
      </x:c>
      <x:c r="L34" s="12" t="n">
        <x:v>94.8</x:v>
      </x:c>
      <x:c r="M34" s="12" t="n">
        <x:v>155.4</x:v>
      </x:c>
      <x:c r="N34" s="12" t="n">
        <x:v>10.3</x:v>
      </x:c>
      <x:c r="O34" s="12" t="n">
        <x:v>-79.2</x:v>
      </x:c>
      <x:c r="P34" s="11" t="str">
        <x:v>Medium</x:v>
      </x:c>
      <x:c r="Q34" s="13" t="n">
        <x:v>17</x:v>
      </x:c>
      <x:c r="R34" s="13" t="n">
        <x:v>5</x:v>
      </x:c>
      <x:c r="S34" s="12" t="n">
        <x:v>444.9</x:v>
      </x:c>
      <x:c r="T34" s="12" t="n">
        <x:v>221</x:v>
      </x:c>
      <x:c r="U34" s="12" t="n">
        <x:v>45.1</x:v>
      </x:c>
      <x:c r="V34" s="12" t="n">
        <x:v>20</x:v>
      </x:c>
      <x:c r="W34" s="12" t="n">
        <x:v>13.7</x:v>
      </x:c>
      <x:c r="X34" s="13" t="n">
        <x:v>9</x:v>
      </x:c>
      <x:c r="Y34" s="11" t="str">
        <x:v>Ques</x:v>
      </x:c>
      <x:c r="Z34" s="11" t="str">
        <x:v>Veteran model: 2025 form, prior-year trend and same team pass/run forecast; team pass volume #17, rush volume #5</x:v>
      </x:c>
    </x:row>
    <x:row r="35" ht="19" customHeight="1">
      <x:c r="A35" s="13" t="n">
        <x:v>31</x:v>
      </x:c>
      <x:c r="B35" s="13" t="n">
        <x:v>218</x:v>
      </x:c>
      <x:c r="C35" s="13" t="n">
        <x:v>197</x:v>
      </x:c>
      <x:c r="D35" s="12" t="n">
        <x:v>236.1</x:v>
      </x:c>
      <x:c r="E35" s="12" t="n">
        <x:v>18.1</x:v>
      </x:c>
      <x:c r="F35" s="12" t="n">
        <x:v>39.1</x:v>
      </x:c>
      <x:c r="G35" s="11" t="str">
        <x:v>Shedeur Sanders</x:v>
      </x:c>
      <x:c r="H35" s="11" t="str">
        <x:v>CLE</x:v>
      </x:c>
      <x:c r="I35" s="13" t="n">
        <x:v>11</x:v>
      </x:c>
      <x:c r="J35" s="12" t="n">
        <x:v>183.2</x:v>
      </x:c>
      <x:c r="K35" s="12" t="n">
        <x:v>97</x:v>
      </x:c>
      <x:c r="L35" s="12" t="n">
        <x:v>86.2</x:v>
      </x:c>
      <x:c r="M35" s="12" t="n">
        <x:v>140.1</x:v>
      </x:c>
      <x:c r="N35" s="12" t="n">
        <x:v>7.2</x:v>
      </x:c>
      <x:c r="O35" s="12" t="n">
        <x:v>-61.9</x:v>
      </x:c>
      <x:c r="P35" s="11" t="str">
        <x:v>Medium</x:v>
      </x:c>
      <x:c r="Q35" s="13" t="n">
        <x:v>4</x:v>
      </x:c>
      <x:c r="R35" s="13" t="n">
        <x:v>26</x:v>
      </x:c>
      <x:c r="S35" s="12" t="n">
        <x:v>426.8</x:v>
      </x:c>
      <x:c r="T35" s="12" t="n">
        <x:v>226</x:v>
      </x:c>
      <x:c r="U35" s="12" t="n">
        <x:v>58.8</x:v>
      </x:c>
      <x:c r="V35" s="12" t="n">
        <x:v>26</x:v>
      </x:c>
      <x:c r="W35" s="12" t="n">
        <x:v>11.9</x:v>
      </x:c>
      <x:c r="X35" s="13" t="n">
        <x:v>8</x:v>
      </x:c>
      <x:c r="Y35" s="11"/>
      <x:c r="Z35" s="11" t="str">
        <x:v>Veteran model: 2025 form, prior-year trend and same team pass/run forecast; team pass volume #4, rush volume #26</x:v>
      </x:c>
    </x:row>
    <x:row r="36" ht="19" customHeight="1">
      <x:c r="A36" s="13" t="n">
        <x:v>32</x:v>
      </x:c>
      <x:c r="B36" s="13" t="n">
        <x:v>234</x:v>
      </x:c>
      <x:c r="C36" s="13" t="n">
        <x:v>202</x:v>
      </x:c>
      <x:c r="D36" s="12" t="n">
        <x:v>224.2</x:v>
      </x:c>
      <x:c r="E36" s="12" t="n">
        <x:v>-9.8</x:v>
      </x:c>
      <x:c r="F36" s="12" t="n">
        <x:v>22.2</x:v>
      </x:c>
      <x:c r="G36" s="11" t="str">
        <x:v>J.J. McCarthy</x:v>
      </x:c>
      <x:c r="H36" s="11" t="str">
        <x:v>MIN</x:v>
      </x:c>
      <x:c r="I36" s="13" t="n">
        <x:v>6</x:v>
      </x:c>
      <x:c r="J36" s="12" t="n">
        <x:v>202.1</x:v>
      </x:c>
      <x:c r="K36" s="12" t="n">
        <x:v>20</x:v>
      </x:c>
      <x:c r="L36" s="12" t="n">
        <x:v>182.1</x:v>
      </x:c>
      <x:c r="M36" s="12" t="n">
        <x:v>111.1</x:v>
      </x:c>
      <x:c r="N36" s="12" t="n">
        <x:v>9.5</x:v>
      </x:c>
      <x:c r="O36" s="12" t="n">
        <x:v>-97.9</x:v>
      </x:c>
      <x:c r="P36" s="11" t="str">
        <x:v>Medium</x:v>
      </x:c>
      <x:c r="Q36" s="13" t="n">
        <x:v>26</x:v>
      </x:c>
      <x:c r="R36" s="13" t="n">
        <x:v>27</x:v>
      </x:c>
      <x:c r="S36" s="12" t="n">
        <x:v>416.1</x:v>
      </x:c>
      <x:c r="T36" s="12" t="n">
        <x:v>32</x:v>
      </x:c>
      <x:c r="U36" s="12" t="n">
        <x:v>60.1</x:v>
      </x:c>
      <x:c r="V36" s="12" t="n">
        <x:v>5</x:v>
      </x:c>
      <x:c r="W36" s="12" t="n">
        <x:v>13.7</x:v>
      </x:c>
      <x:c r="X36" s="13" t="n">
        <x:v>10</x:v>
      </x:c>
      <x:c r="Y36" s="11"/>
      <x:c r="Z36" s="11" t="str">
        <x:v>Veteran model: 2025 form, prior-year trend and same team pass/run forecast; team pass volume #26, rush volume #27</x:v>
      </x:c>
    </x:row>
    <x:row r="37" ht="19" customHeight="1">
      <x:c r="A37" s="13" t="n">
        <x:v>33</x:v>
      </x:c>
      <x:c r="B37" s="13" t="n">
        <x:v>230</x:v>
      </x:c>
      <x:c r="C37" s="13" t="n">
        <x:v>132</x:v>
      </x:c>
      <x:c r="D37" s="12" t="n">
        <x:v>241.8</x:v>
      </x:c>
      <x:c r="E37" s="12" t="n">
        <x:v>11.8</x:v>
      </x:c>
      <x:c r="F37" s="12" t="n">
        <x:v>109.8</x:v>
      </x:c>
      <x:c r="G37" s="11" t="str">
        <x:v>Ty Simpson</x:v>
      </x:c>
      <x:c r="H37" s="11" t="str">
        <x:v>LAR</x:v>
      </x:c>
      <x:c r="I37" s="13" t="n">
        <x:v>11</x:v>
      </x:c>
      <x:c r="J37" s="12" t="n">
        <x:v>235.2</x:v>
      </x:c>
      <x:c r="K37" s="12" t="n">
        <x:v>14</x:v>
      </x:c>
      <x:c r="L37" s="12" t="n">
        <x:v>221.2</x:v>
      </x:c>
      <x:c r="M37" s="12" t="n">
        <x:v>69.3</x:v>
      </x:c>
      <x:c r="N37" s="12" t="n">
        <x:v>6.2</x:v>
      </x:c>
      <x:c r="O37" s="12" t="n">
        <x:v>-79.1</x:v>
      </x:c>
      <x:c r="P37" s="11" t="str">
        <x:v>Low</x:v>
      </x:c>
      <x:c r="Q37" s="13" t="n">
        <x:v>7</x:v>
      </x:c>
      <x:c r="R37" s="13" t="n">
        <x:v>14</x:v>
      </x:c>
      <x:c r="S37" s="12" t="n">
        <x:v>0</x:v>
      </x:c>
      <x:c r="T37" s="12" t="n">
        <x:v>32</x:v>
      </x:c>
      <x:c r="U37" s="12" t="n">
        <x:v>0</x:v>
      </x:c>
      <x:c r="V37" s="12" t="n">
        <x:v>5</x:v>
      </x:c>
      <x:c r="W37" s="12"/>
      <x:c r="X37" s="13"/>
      <x:c r="Y37" s="11"/>
      <x:c r="Z37" s="11" t="str">
        <x:v>Rookie model: pick 13, age and destination-team environment; team pass volume #7, rush volume #14</x:v>
      </x:c>
    </x:row>
  </x:sheetData>
  <x:mergeCells>
    <x:mergeCell ref="A1:Z1"/>
    <x:mergeCell ref="A2:Z2"/>
  </x:mergeCells>
  <x:conditionalFormatting sqref="E5:F37">
    <x:cfRule type="colorScale" priority="1">
      <x:colorScale>
        <x:cfvo type="min"/>
        <x:cfvo type="percentile" val="50"/>
        <x:cfvo type="max"/>
        <x:color rgb="FFE67C73"/>
        <x:color rgb="FFFFF0C2"/>
        <x:color rgb="FF63BE7B"/>
      </x:colorScale>
    </x:cfRule>
  </x:conditionalFormatting>
  <x:conditionalFormatting sqref="J5:O37">
    <x:cfRule type="colorScale" priority="2">
      <x:colorScale>
        <x:cfvo type="min"/>
        <x:cfvo type="percentile" val="50"/>
        <x:cfvo type="max"/>
        <x:color rgb="FFE67C73"/>
        <x:color rgb="FFFFF0C2"/>
        <x:color rgb="FF63BE7B"/>
      </x:colorScale>
    </x:cfRule>
  </x:conditionalFormatting>
  <x:conditionalFormatting sqref="P5:P37">
    <x:cfRule type="containsText" dxfId="38" priority="3" operator="containsText" text="High"/>
    <x:cfRule type="containsText" dxfId="39" priority="4" operator="containsText" text="Medium"/>
    <x:cfRule type="containsText" dxfId="40" priority="5" operator="containsText" text="Low"/>
  </x:conditionalFormatting>
  <x:conditionalFormatting sqref="Y5:Y37">
    <x:cfRule type="notContainsBlanks" dxfId="41" priority="6"/>
  </x:conditionalFormatting>
  <x:pageMargins left="0.7" right="0.7" top="0.75" bottom="0.75" header="0.3" footer="0.3"/>
  <x:tableParts count="1">
    <x:tablePart xmlns:r="http://schemas.openxmlformats.org/officeDocument/2006/relationships" r:id="R1f0826b682514b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11" hidden="0" customWidth="1"/>
    <x:col min="4" max="4" width="8" hidden="0" customWidth="1"/>
    <x:col min="5" max="5" width="10" hidden="0" customWidth="1"/>
    <x:col min="6" max="6" width="9" hidden="0" customWidth="1"/>
    <x:col min="7" max="7" width="24" hidden="0" customWidth="1"/>
    <x:col min="8" max="8" width="8" hidden="0" customWidth="1"/>
    <x:col min="9" max="9" width="7" hidden="0" customWidth="1"/>
    <x:col min="10" max="10" width="10" hidden="0" customWidth="1"/>
    <x:col min="11" max="11" width="10" hidden="0" customWidth="1"/>
    <x:col min="12" max="12" width="10" hidden="0" customWidth="1"/>
    <x:col min="13" max="13" width="11" hidden="0" customWidth="1"/>
    <x:col min="14" max="14" width="8" hidden="0" customWidth="1"/>
    <x:col min="15" max="15" width="9" hidden="0" customWidth="1"/>
    <x:col min="16" max="16" width="11" hidden="0" customWidth="1"/>
    <x:col min="17" max="17" width="10" hidden="0" customWidth="1"/>
    <x:col min="18" max="18" width="10" hidden="0" customWidth="1"/>
    <x:col min="19" max="19" width="12" hidden="0" customWidth="1"/>
    <x:col min="20" max="20" width="14" hidden="0" customWidth="1"/>
    <x:col min="21" max="21" width="12" hidden="0" customWidth="1"/>
    <x:col min="22" max="22" width="14" hidden="0" customWidth="1"/>
    <x:col min="23" max="23" width="10" hidden="0" customWidth="1"/>
    <x:col min="24" max="24" width="9" hidden="0" customWidth="1"/>
    <x:col min="25" max="25" width="10" hidden="0" customWidth="1"/>
    <x:col min="26" max="26" width="52" hidden="0" customWidth="1"/>
  </x:cols>
  <x:sheetData>
    <x:row r="1" ht="32" customHeight="1">
      <x:c r="A1" s="3" t="str">
        <x:v>RB POSITION BOARD</x:v>
      </x:c>
    </x:row>
    <x:row r="2" ht="26" customHeight="1">
      <x:c r="A2" s="7" t="str">
        <x:v>Own projection, Sleeper comparison, team environment and expected opportunity | decision replacement: 25</x:v>
      </x:c>
    </x:row>
    <x:row r="4" ht="25" customHeight="1">
      <x:c r="A4" s="11" t="str">
        <x:v>Pos Rank</x:v>
      </x:c>
      <x:c r="B4" s="11" t="str">
        <x:v>Decision</x:v>
      </x:c>
      <x:c r="C4" s="11" t="str">
        <x:v>Independent</x:v>
      </x:c>
      <x:c r="D4" s="11" t="str">
        <x:v>ADP</x:v>
      </x:c>
      <x:c r="E4" s="11" t="str">
        <x:v>Draft Gap</x:v>
      </x:c>
      <x:c r="F4" s="11" t="str">
        <x:v>Ind Gap</x:v>
      </x:c>
      <x:c r="G4" s="11" t="str">
        <x:v>Player</x:v>
      </x:c>
      <x:c r="H4" s="11" t="str">
        <x:v>Team</x:v>
      </x:c>
      <x:c r="I4" s="11" t="str">
        <x:v>Bye</x:v>
      </x:c>
      <x:c r="J4" s="11" t="str">
        <x:v>Our 17G</x:v>
      </x:c>
      <x:c r="K4" s="11" t="str">
        <x:v>Sleeper</x:v>
      </x:c>
      <x:c r="L4" s="11" t="str">
        <x:v>Proj Gap</x:v>
      </x:c>
      <x:c r="M4" s="11" t="str">
        <x:v>Decision Pts</x:v>
      </x:c>
      <x:c r="N4" s="11" t="str">
        <x:v>Exp G</x:v>
      </x:c>
      <x:c r="O4" s="11" t="str">
        <x:v>VBD</x:v>
      </x:c>
      <x:c r="P4" s="11" t="str">
        <x:v>Confidence</x:v>
      </x:c>
      <x:c r="Q4" s="11" t="str">
        <x:v>Pass Rank</x:v>
      </x:c>
      <x:c r="R4" s="11" t="str">
        <x:v>Rush Rank</x:v>
      </x:c>
      <x:c r="S4" s="11" t="str">
        <x:v>Own Targets</x:v>
      </x:c>
      <x:c r="T4" s="11" t="str">
        <x:v>Sleeper Targets</x:v>
      </x:c>
      <x:c r="U4" s="11" t="str">
        <x:v>Own Carries</x:v>
      </x:c>
      <x:c r="V4" s="11" t="str">
        <x:v>Sleeper Carries</x:v>
      </x:c>
      <x:c r="W4" s="11" t="str">
        <x:v>2025 PPG</x:v>
      </x:c>
      <x:c r="X4" s="11" t="str">
        <x:v>2025 G</x:v>
      </x:c>
      <x:c r="Y4" s="11" t="str">
        <x:v>Injury</x:v>
      </x:c>
      <x:c r="Z4" s="11" t="str">
        <x:v>Why</x:v>
      </x:c>
    </x:row>
    <x:row r="5" ht="19" customHeight="1">
      <x:c r="A5" s="13" t="n">
        <x:v>1</x:v>
      </x:c>
      <x:c r="B5" s="13" t="n">
        <x:v>1</x:v>
      </x:c>
      <x:c r="C5" s="13" t="n">
        <x:v>3</x:v>
      </x:c>
      <x:c r="D5" s="12" t="n">
        <x:v>2.6</x:v>
      </x:c>
      <x:c r="E5" s="12" t="n">
        <x:v>1.6</x:v>
      </x:c>
      <x:c r="F5" s="12" t="n">
        <x:v>-0.4</x:v>
      </x:c>
      <x:c r="G5" s="11" t="str">
        <x:v>Bijan Robinson</x:v>
      </x:c>
      <x:c r="H5" s="11" t="str">
        <x:v>ATL</x:v>
      </x:c>
      <x:c r="I5" s="13" t="n">
        <x:v>11</x:v>
      </x:c>
      <x:c r="J5" s="12" t="n">
        <x:v>335.4</x:v>
      </x:c>
      <x:c r="K5" s="12" t="n">
        <x:v>325</x:v>
      </x:c>
      <x:c r="L5" s="12" t="n">
        <x:v>10.4</x:v>
      </x:c>
      <x:c r="M5" s="12" t="n">
        <x:v>331.7</x:v>
      </x:c>
      <x:c r="N5" s="12" t="n">
        <x:v>16</x:v>
      </x:c>
      <x:c r="O5" s="12" t="n">
        <x:v>145</x:v>
      </x:c>
      <x:c r="P5" s="11" t="str">
        <x:v>High</x:v>
      </x:c>
      <x:c r="Q5" s="13" t="n">
        <x:v>17</x:v>
      </x:c>
      <x:c r="R5" s="13" t="n">
        <x:v>5</x:v>
      </x:c>
      <x:c r="S5" s="12" t="n">
        <x:v>94.7</x:v>
      </x:c>
      <x:c r="T5" s="12"/>
      <x:c r="U5" s="12" t="n">
        <x:v>302.2</x:v>
      </x:c>
      <x:c r="V5" s="12" t="n">
        <x:v>280</x:v>
      </x:c>
      <x:c r="W5" s="12" t="n">
        <x:v>21.8</x:v>
      </x:c>
      <x:c r="X5" s="13" t="n">
        <x:v>17</x:v>
      </x:c>
      <x:c r="Y5" s="11"/>
      <x:c r="Z5" s="11" t="str">
        <x:v>Veteran model: 2025 form, prior-year trend and same team pass/run forecast; team pass volume #17, rush volume #5</x:v>
      </x:c>
    </x:row>
    <x:row r="6" ht="19" customHeight="1">
      <x:c r="A6" s="13" t="n">
        <x:v>2</x:v>
      </x:c>
      <x:c r="B6" s="13" t="n">
        <x:v>3</x:v>
      </x:c>
      <x:c r="C6" s="13" t="n">
        <x:v>5</x:v>
      </x:c>
      <x:c r="D6" s="12" t="n">
        <x:v>1.1</x:v>
      </x:c>
      <x:c r="E6" s="12" t="n">
        <x:v>-1.9</x:v>
      </x:c>
      <x:c r="F6" s="12" t="n">
        <x:v>-3.9</x:v>
      </x:c>
      <x:c r="G6" s="11" t="str">
        <x:v>Jahmyr Gibbs</x:v>
      </x:c>
      <x:c r="H6" s="11" t="str">
        <x:v>DET</x:v>
      </x:c>
      <x:c r="I6" s="13" t="n">
        <x:v>6</x:v>
      </x:c>
      <x:c r="J6" s="12" t="n">
        <x:v>312.1</x:v>
      </x:c>
      <x:c r="K6" s="12" t="n">
        <x:v>331</x:v>
      </x:c>
      <x:c r="L6" s="12" t="n">
        <x:v>-18.9</x:v>
      </x:c>
      <x:c r="M6" s="12" t="n">
        <x:v>318.7</x:v>
      </x:c>
      <x:c r="N6" s="12" t="n">
        <x:v>15.8</x:v>
      </x:c>
      <x:c r="O6" s="12" t="n">
        <x:v>131.1</x:v>
      </x:c>
      <x:c r="P6" s="11" t="str">
        <x:v>High</x:v>
      </x:c>
      <x:c r="Q6" s="13" t="n">
        <x:v>10</x:v>
      </x:c>
      <x:c r="R6" s="13" t="n">
        <x:v>7</x:v>
      </x:c>
      <x:c r="S6" s="12" t="n">
        <x:v>86.4</x:v>
      </x:c>
      <x:c r="T6" s="12"/>
      <x:c r="U6" s="12" t="n">
        <x:v>267.3</x:v>
      </x:c>
      <x:c r="V6" s="12" t="n">
        <x:v>255</x:v>
      </x:c>
      <x:c r="W6" s="12" t="n">
        <x:v>21.6</x:v>
      </x:c>
      <x:c r="X6" s="13" t="n">
        <x:v>17</x:v>
      </x:c>
      <x:c r="Y6" s="11"/>
      <x:c r="Z6" s="11" t="str">
        <x:v>Veteran model: 2025 form, prior-year trend and same team pass/run forecast; team pass volume #10, rush volume #7</x:v>
      </x:c>
    </x:row>
    <x:row r="7" ht="19" customHeight="1">
      <x:c r="A7" s="13" t="n">
        <x:v>3</x:v>
      </x:c>
      <x:c r="B7" s="13" t="n">
        <x:v>6</x:v>
      </x:c>
      <x:c r="C7" s="13" t="n">
        <x:v>6</x:v>
      </x:c>
      <x:c r="D7" s="12" t="n">
        <x:v>5.5</x:v>
      </x:c>
      <x:c r="E7" s="12" t="n">
        <x:v>-0.5</x:v>
      </x:c>
      <x:c r="F7" s="12" t="n">
        <x:v>-0.5</x:v>
      </x:c>
      <x:c r="G7" s="11" t="str">
        <x:v>Christian McCaffrey</x:v>
      </x:c>
      <x:c r="H7" s="11" t="str">
        <x:v>SF</x:v>
      </x:c>
      <x:c r="I7" s="13" t="n">
        <x:v>8</x:v>
      </x:c>
      <x:c r="J7" s="12" t="n">
        <x:v>326</x:v>
      </x:c>
      <x:c r="K7" s="12" t="n">
        <x:v>291</x:v>
      </x:c>
      <x:c r="L7" s="12" t="n">
        <x:v>35</x:v>
      </x:c>
      <x:c r="M7" s="12" t="n">
        <x:v>313.7</x:v>
      </x:c>
      <x:c r="N7" s="12" t="n">
        <x:v>13.8</x:v>
      </x:c>
      <x:c r="O7" s="12" t="n">
        <x:v>110.5</x:v>
      </x:c>
      <x:c r="P7" s="11" t="str">
        <x:v>High</x:v>
      </x:c>
      <x:c r="Q7" s="13" t="n">
        <x:v>16</x:v>
      </x:c>
      <x:c r="R7" s="13" t="n">
        <x:v>9</x:v>
      </x:c>
      <x:c r="S7" s="12" t="n">
        <x:v>102.3</x:v>
      </x:c>
      <x:c r="T7" s="12"/>
      <x:c r="U7" s="12" t="n">
        <x:v>261.7</x:v>
      </x:c>
      <x:c r="V7" s="12" t="n">
        <x:v>240</x:v>
      </x:c>
      <x:c r="W7" s="12" t="n">
        <x:v>24.5</x:v>
      </x:c>
      <x:c r="X7" s="13" t="n">
        <x:v>17</x:v>
      </x:c>
      <x:c r="Y7" s="11" t="str">
        <x:v>Ques</x:v>
      </x:c>
      <x:c r="Z7" s="11" t="str">
        <x:v>Veteran model: 2025 form, prior-year trend and same team pass/run forecast; team pass volume #16, rush volume #9</x:v>
      </x:c>
    </x:row>
    <x:row r="8" ht="19" customHeight="1">
      <x:c r="A8" s="13" t="n">
        <x:v>4</x:v>
      </x:c>
      <x:c r="B8" s="13" t="n">
        <x:v>9</x:v>
      </x:c>
      <x:c r="C8" s="13" t="n">
        <x:v>10</x:v>
      </x:c>
      <x:c r="D8" s="12" t="n">
        <x:v>6.1</x:v>
      </x:c>
      <x:c r="E8" s="12" t="n">
        <x:v>-2.9</x:v>
      </x:c>
      <x:c r="F8" s="12" t="n">
        <x:v>-3.9</x:v>
      </x:c>
      <x:c r="G8" s="11" t="str">
        <x:v>Jonathan Taylor</x:v>
      </x:c>
      <x:c r="H8" s="11" t="str">
        <x:v>IND</x:v>
      </x:c>
      <x:c r="I8" s="13" t="n">
        <x:v>13</x:v>
      </x:c>
      <x:c r="J8" s="12" t="n">
        <x:v>280.3</x:v>
      </x:c>
      <x:c r="K8" s="12" t="n">
        <x:v>272</x:v>
      </x:c>
      <x:c r="L8" s="12" t="n">
        <x:v>8.3</x:v>
      </x:c>
      <x:c r="M8" s="12" t="n">
        <x:v>277.4</x:v>
      </x:c>
      <x:c r="N8" s="12" t="n">
        <x:v>14.5</x:v>
      </x:c>
      <x:c r="O8" s="12" t="n">
        <x:v>85.1</x:v>
      </x:c>
      <x:c r="P8" s="11" t="str">
        <x:v>High</x:v>
      </x:c>
      <x:c r="Q8" s="13" t="n">
        <x:v>21</x:v>
      </x:c>
      <x:c r="R8" s="13" t="n">
        <x:v>13</x:v>
      </x:c>
      <x:c r="S8" s="12" t="n">
        <x:v>54.8</x:v>
      </x:c>
      <x:c r="T8" s="12"/>
      <x:c r="U8" s="12" t="n">
        <x:v>316.5</x:v>
      </x:c>
      <x:c r="V8" s="12" t="n">
        <x:v>287</x:v>
      </x:c>
      <x:c r="W8" s="12" t="n">
        <x:v>21.3</x:v>
      </x:c>
      <x:c r="X8" s="13" t="n">
        <x:v>17</x:v>
      </x:c>
      <x:c r="Y8" s="11"/>
      <x:c r="Z8" s="11" t="str">
        <x:v>Veteran model: 2025 form, prior-year trend and same team pass/run forecast; team pass volume #21, rush volume #13</x:v>
      </x:c>
    </x:row>
    <x:row r="9" ht="19" customHeight="1">
      <x:c r="A9" s="13" t="n">
        <x:v>5</x:v>
      </x:c>
      <x:c r="B9" s="13" t="n">
        <x:v>8</x:v>
      </x:c>
      <x:c r="C9" s="13" t="n">
        <x:v>9</x:v>
      </x:c>
      <x:c r="D9" s="12" t="n">
        <x:v>12</x:v>
      </x:c>
      <x:c r="E9" s="12" t="n">
        <x:v>4</x:v>
      </x:c>
      <x:c r="F9" s="12" t="n">
        <x:v>3</x:v>
      </x:c>
      <x:c r="G9" s="11" t="str">
        <x:v>De'Von Achane</x:v>
      </x:c>
      <x:c r="H9" s="11" t="str">
        <x:v>MIA</x:v>
      </x:c>
      <x:c r="I9" s="13" t="n">
        <x:v>6</x:v>
      </x:c>
      <x:c r="J9" s="12" t="n">
        <x:v>281.8</x:v>
      </x:c>
      <x:c r="K9" s="12" t="n">
        <x:v>257</x:v>
      </x:c>
      <x:c r="L9" s="12" t="n">
        <x:v>24.8</x:v>
      </x:c>
      <x:c r="M9" s="12" t="n">
        <x:v>273.1</x:v>
      </x:c>
      <x:c r="N9" s="12" t="n">
        <x:v>15.7</x:v>
      </x:c>
      <x:c r="O9" s="12" t="n">
        <x:v>88.2</x:v>
      </x:c>
      <x:c r="P9" s="11" t="str">
        <x:v>High</x:v>
      </x:c>
      <x:c r="Q9" s="13" t="n">
        <x:v>25</x:v>
      </x:c>
      <x:c r="R9" s="13" t="n">
        <x:v>24</x:v>
      </x:c>
      <x:c r="S9" s="12" t="n">
        <x:v>81.8</x:v>
      </x:c>
      <x:c r="T9" s="12"/>
      <x:c r="U9" s="12" t="n">
        <x:v>245.7</x:v>
      </x:c>
      <x:c r="V9" s="12" t="n">
        <x:v>239</x:v>
      </x:c>
      <x:c r="W9" s="12" t="n">
        <x:v>20.2</x:v>
      </x:c>
      <x:c r="X9" s="13" t="n">
        <x:v>16</x:v>
      </x:c>
      <x:c r="Y9" s="11"/>
      <x:c r="Z9" s="11" t="str">
        <x:v>Veteran model: 2025 form, prior-year trend and same team pass/run forecast; team pass volume #25, rush volume #24</x:v>
      </x:c>
    </x:row>
    <x:row r="10" ht="19" customHeight="1">
      <x:c r="A10" s="13" t="n">
        <x:v>6</x:v>
      </x:c>
      <x:c r="B10" s="13" t="n">
        <x:v>15</x:v>
      </x:c>
      <x:c r="C10" s="13" t="n">
        <x:v>17</x:v>
      </x:c>
      <x:c r="D10" s="12" t="n">
        <x:v>13.8</x:v>
      </x:c>
      <x:c r="E10" s="12" t="n">
        <x:v>-1.2</x:v>
      </x:c>
      <x:c r="F10" s="12" t="n">
        <x:v>-3.2</x:v>
      </x:c>
      <x:c r="G10" s="11" t="str">
        <x:v>Ashton Jeanty</x:v>
      </x:c>
      <x:c r="H10" s="11" t="str">
        <x:v>LV</x:v>
      </x:c>
      <x:c r="I10" s="13" t="n">
        <x:v>13</x:v>
      </x:c>
      <x:c r="J10" s="12" t="n">
        <x:v>247.8</x:v>
      </x:c>
      <x:c r="K10" s="12" t="n">
        <x:v>260</x:v>
      </x:c>
      <x:c r="L10" s="12" t="n">
        <x:v>-12.2</x:v>
      </x:c>
      <x:c r="M10" s="12" t="n">
        <x:v>253.9</x:v>
      </x:c>
      <x:c r="N10" s="12" t="n">
        <x:v>13.7</x:v>
      </x:c>
      <x:c r="O10" s="12" t="n">
        <x:v>61.5</x:v>
      </x:c>
      <x:c r="P10" s="11" t="str">
        <x:v>Medium</x:v>
      </x:c>
      <x:c r="Q10" s="13" t="n">
        <x:v>15</x:v>
      </x:c>
      <x:c r="R10" s="13" t="n">
        <x:v>32</x:v>
      </x:c>
      <x:c r="S10" s="12" t="n">
        <x:v>69.2</x:v>
      </x:c>
      <x:c r="T10" s="12"/>
      <x:c r="U10" s="12" t="n">
        <x:v>243.1</x:v>
      </x:c>
      <x:c r="V10" s="12" t="n">
        <x:v>281</x:v>
      </x:c>
      <x:c r="W10" s="12" t="n">
        <x:v>14.4</x:v>
      </x:c>
      <x:c r="X10" s="13" t="n">
        <x:v>17</x:v>
      </x:c>
      <x:c r="Y10" s="11"/>
      <x:c r="Z10" s="11" t="str">
        <x:v>Veteran model: 2025 form, prior-year trend and same team pass/run forecast; team pass volume #15, rush volume #32</x:v>
      </x:c>
    </x:row>
    <x:row r="11" ht="19" customHeight="1">
      <x:c r="A11" s="13" t="n">
        <x:v>7</x:v>
      </x:c>
      <x:c r="B11" s="13" t="n">
        <x:v>12</x:v>
      </x:c>
      <x:c r="C11" s="13" t="n">
        <x:v>15</x:v>
      </x:c>
      <x:c r="D11" s="12" t="n">
        <x:v>10.5</x:v>
      </x:c>
      <x:c r="E11" s="12" t="n">
        <x:v>-1.5</x:v>
      </x:c>
      <x:c r="F11" s="12" t="n">
        <x:v>-4.5</x:v>
      </x:c>
      <x:c r="G11" s="11" t="str">
        <x:v>James Cook</x:v>
      </x:c>
      <x:c r="H11" s="11" t="str">
        <x:v>BUF</x:v>
      </x:c>
      <x:c r="I11" s="13" t="n">
        <x:v>7</x:v>
      </x:c>
      <x:c r="J11" s="12" t="n">
        <x:v>244.7</x:v>
      </x:c>
      <x:c r="K11" s="12" t="n">
        <x:v>261</x:v>
      </x:c>
      <x:c r="L11" s="12" t="n">
        <x:v>-16.3</x:v>
      </x:c>
      <x:c r="M11" s="12" t="n">
        <x:v>250.4</x:v>
      </x:c>
      <x:c r="N11" s="12" t="n">
        <x:v>14.9</x:v>
      </x:c>
      <x:c r="O11" s="12" t="n">
        <x:v>63.8</x:v>
      </x:c>
      <x:c r="P11" s="11" t="str">
        <x:v>High</x:v>
      </x:c>
      <x:c r="Q11" s="13" t="n">
        <x:v>28</x:v>
      </x:c>
      <x:c r="R11" s="13" t="n">
        <x:v>3</x:v>
      </x:c>
      <x:c r="S11" s="12" t="n">
        <x:v>47.8</x:v>
      </x:c>
      <x:c r="T11" s="12"/>
      <x:c r="U11" s="12" t="n">
        <x:v>271.6</x:v>
      </x:c>
      <x:c r="V11" s="12" t="n">
        <x:v>264</x:v>
      </x:c>
      <x:c r="W11" s="12" t="n">
        <x:v>17.8</x:v>
      </x:c>
      <x:c r="X11" s="13" t="n">
        <x:v>17</x:v>
      </x:c>
      <x:c r="Y11" s="11"/>
      <x:c r="Z11" s="11" t="str">
        <x:v>Veteran model: 2025 form, prior-year trend and same team pass/run forecast; team pass volume #28, rush volume #3</x:v>
      </x:c>
    </x:row>
    <x:row r="12" ht="19" customHeight="1">
      <x:c r="A12" s="13" t="n">
        <x:v>8</x:v>
      </x:c>
      <x:c r="B12" s="13" t="n">
        <x:v>17</x:v>
      </x:c>
      <x:c r="C12" s="13" t="n">
        <x:v>19</x:v>
      </x:c>
      <x:c r="D12" s="12" t="n">
        <x:v>13.7</x:v>
      </x:c>
      <x:c r="E12" s="12" t="n">
        <x:v>-3.3</x:v>
      </x:c>
      <x:c r="F12" s="12" t="n">
        <x:v>-5.3</x:v>
      </x:c>
      <x:c r="G12" s="11" t="str">
        <x:v>Saquon Barkley</x:v>
      </x:c>
      <x:c r="H12" s="11" t="str">
        <x:v>PHI</x:v>
      </x:c>
      <x:c r="I12" s="13" t="n">
        <x:v>10</x:v>
      </x:c>
      <x:c r="J12" s="12" t="n">
        <x:v>249.8</x:v>
      </x:c>
      <x:c r="K12" s="12" t="n">
        <x:v>247</x:v>
      </x:c>
      <x:c r="L12" s="12" t="n">
        <x:v>2.8</x:v>
      </x:c>
      <x:c r="M12" s="12" t="n">
        <x:v>248.8</x:v>
      </x:c>
      <x:c r="N12" s="12" t="n">
        <x:v>13</x:v>
      </x:c>
      <x:c r="O12" s="12" t="n">
        <x:v>54.4</x:v>
      </x:c>
      <x:c r="P12" s="11" t="str">
        <x:v>High</x:v>
      </x:c>
      <x:c r="Q12" s="13" t="n">
        <x:v>31</x:v>
      </x:c>
      <x:c r="R12" s="13" t="n">
        <x:v>2</x:v>
      </x:c>
      <x:c r="S12" s="12" t="n">
        <x:v>53.1</x:v>
      </x:c>
      <x:c r="T12" s="12"/>
      <x:c r="U12" s="12" t="n">
        <x:v>279.7</x:v>
      </x:c>
      <x:c r="V12" s="12" t="n">
        <x:v>271</x:v>
      </x:c>
      <x:c r="W12" s="12" t="n">
        <x:v>14.5</x:v>
      </x:c>
      <x:c r="X12" s="13" t="n">
        <x:v>16</x:v>
      </x:c>
      <x:c r="Y12" s="11"/>
      <x:c r="Z12" s="11" t="str">
        <x:v>Veteran model: 2025 form, prior-year trend and same team pass/run forecast; team pass volume #31, rush volume #2</x:v>
      </x:c>
    </x:row>
    <x:row r="13" ht="19" customHeight="1">
      <x:c r="A13" s="13" t="n">
        <x:v>9</x:v>
      </x:c>
      <x:c r="B13" s="13" t="n">
        <x:v>20</x:v>
      </x:c>
      <x:c r="C13" s="13" t="n">
        <x:v>24</x:v>
      </x:c>
      <x:c r="D13" s="12" t="n">
        <x:v>17.5</x:v>
      </x:c>
      <x:c r="E13" s="12" t="n">
        <x:v>-2.5</x:v>
      </x:c>
      <x:c r="F13" s="12" t="n">
        <x:v>-6.5</x:v>
      </x:c>
      <x:c r="G13" s="11" t="str">
        <x:v>Chase Brown</x:v>
      </x:c>
      <x:c r="H13" s="11" t="str">
        <x:v>CIN</x:v>
      </x:c>
      <x:c r="I13" s="13" t="n">
        <x:v>6</x:v>
      </x:c>
      <x:c r="J13" s="12" t="n">
        <x:v>231.2</x:v>
      </x:c>
      <x:c r="K13" s="12" t="n">
        <x:v>255</x:v>
      </x:c>
      <x:c r="L13" s="12" t="n">
        <x:v>-23.8</x:v>
      </x:c>
      <x:c r="M13" s="12" t="n">
        <x:v>239.5</x:v>
      </x:c>
      <x:c r="N13" s="12" t="n">
        <x:v>14</x:v>
      </x:c>
      <x:c r="O13" s="12" t="n">
        <x:v>51</x:v>
      </x:c>
      <x:c r="P13" s="11" t="str">
        <x:v>High</x:v>
      </x:c>
      <x:c r="Q13" s="13" t="n">
        <x:v>1</x:v>
      </x:c>
      <x:c r="R13" s="13" t="n">
        <x:v>31</x:v>
      </x:c>
      <x:c r="S13" s="12" t="n">
        <x:v>67.2</x:v>
      </x:c>
      <x:c r="T13" s="12"/>
      <x:c r="U13" s="12" t="n">
        <x:v>199.8</x:v>
      </x:c>
      <x:c r="V13" s="12" t="n">
        <x:v>220</x:v>
      </x:c>
      <x:c r="W13" s="12" t="n">
        <x:v>16.6</x:v>
      </x:c>
      <x:c r="X13" s="13" t="n">
        <x:v>17</x:v>
      </x:c>
      <x:c r="Y13" s="11"/>
      <x:c r="Z13" s="11" t="str">
        <x:v>Veteran model: 2025 form, prior-year trend and same team pass/run forecast; team pass volume #1, rush volume #31</x:v>
      </x:c>
    </x:row>
    <x:row r="14" ht="19" customHeight="1">
      <x:c r="A14" s="13" t="n">
        <x:v>10</x:v>
      </x:c>
      <x:c r="B14" s="13" t="n">
        <x:v>27</x:v>
      </x:c>
      <x:c r="C14" s="13" t="n">
        <x:v>36</x:v>
      </x:c>
      <x:c r="D14" s="12" t="n">
        <x:v>15.5</x:v>
      </x:c>
      <x:c r="E14" s="12" t="n">
        <x:v>-11.5</x:v>
      </x:c>
      <x:c r="F14" s="12" t="n">
        <x:v>-20.5</x:v>
      </x:c>
      <x:c r="G14" s="11" t="str">
        <x:v>Omarion Hampton</x:v>
      </x:c>
      <x:c r="H14" s="11" t="str">
        <x:v>LAC</x:v>
      </x:c>
      <x:c r="I14" s="13" t="n">
        <x:v>7</x:v>
      </x:c>
      <x:c r="J14" s="12" t="n">
        <x:v>225.5</x:v>
      </x:c>
      <x:c r="K14" s="12" t="n">
        <x:v>243</x:v>
      </x:c>
      <x:c r="L14" s="12" t="n">
        <x:v>-17.5</x:v>
      </x:c>
      <x:c r="M14" s="12" t="n">
        <x:v>234.3</x:v>
      </x:c>
      <x:c r="N14" s="12" t="n">
        <x:v>11.9</x:v>
      </x:c>
      <x:c r="O14" s="12" t="n">
        <x:v>39.7</x:v>
      </x:c>
      <x:c r="P14" s="11" t="str">
        <x:v>Medium</x:v>
      </x:c>
      <x:c r="Q14" s="13" t="n">
        <x:v>14</x:v>
      </x:c>
      <x:c r="R14" s="13" t="n">
        <x:v>16</x:v>
      </x:c>
      <x:c r="S14" s="12" t="n">
        <x:v>59</x:v>
      </x:c>
      <x:c r="T14" s="12"/>
      <x:c r="U14" s="12" t="n">
        <x:v>220.8</x:v>
      </x:c>
      <x:c r="V14" s="12" t="n">
        <x:v>232</x:v>
      </x:c>
      <x:c r="W14" s="12" t="n">
        <x:v>15.1</x:v>
      </x:c>
      <x:c r="X14" s="13" t="n">
        <x:v>9</x:v>
      </x:c>
      <x:c r="Y14" s="11"/>
      <x:c r="Z14" s="11" t="str">
        <x:v>Veteran model: 2025 form, prior-year trend and same team pass/run forecast; team pass volume #14, rush volume #16</x:v>
      </x:c>
    </x:row>
    <x:row r="15" ht="19" customHeight="1">
      <x:c r="A15" s="13" t="n">
        <x:v>11</x:v>
      </x:c>
      <x:c r="B15" s="13" t="n">
        <x:v>19</x:v>
      </x:c>
      <x:c r="C15" s="13" t="n">
        <x:v>8</x:v>
      </x:c>
      <x:c r="D15" s="12" t="n">
        <x:v>26.8</x:v>
      </x:c>
      <x:c r="E15" s="12" t="n">
        <x:v>7.8</x:v>
      </x:c>
      <x:c r="F15" s="12" t="n">
        <x:v>18.8</x:v>
      </x:c>
      <x:c r="G15" s="11" t="str">
        <x:v>Jeremiyah Love</x:v>
      </x:c>
      <x:c r="H15" s="11" t="str">
        <x:v>ARI</x:v>
      </x:c>
      <x:c r="I15" s="13" t="n">
        <x:v>14</x:v>
      </x:c>
      <x:c r="J15" s="12" t="n">
        <x:v>284.8</x:v>
      </x:c>
      <x:c r="K15" s="12" t="n">
        <x:v>212</x:v>
      </x:c>
      <x:c r="L15" s="12" t="n">
        <x:v>72.8</x:v>
      </x:c>
      <x:c r="M15" s="12" t="n">
        <x:v>230.2</x:v>
      </x:c>
      <x:c r="N15" s="12" t="n">
        <x:v>17</x:v>
      </x:c>
      <x:c r="O15" s="12" t="n">
        <x:v>52.6</x:v>
      </x:c>
      <x:c r="P15" s="11" t="str">
        <x:v>Low</x:v>
      </x:c>
      <x:c r="Q15" s="13" t="n">
        <x:v>3</x:v>
      </x:c>
      <x:c r="R15" s="13" t="n">
        <x:v>29</x:v>
      </x:c>
      <x:c r="S15" s="12" t="n">
        <x:v>0</x:v>
      </x:c>
      <x:c r="T15" s="12"/>
      <x:c r="U15" s="12" t="n">
        <x:v>0</x:v>
      </x:c>
      <x:c r="V15" s="12" t="n">
        <x:v>205</x:v>
      </x:c>
      <x:c r="W15" s="12"/>
      <x:c r="X15" s="13"/>
      <x:c r="Y15" s="11" t="str">
        <x:v>Ques</x:v>
      </x:c>
      <x:c r="Z15" s="11" t="str">
        <x:v>Rookie model: pick 3, age and destination-team environment; team pass volume #3, rush volume #29</x:v>
      </x:c>
    </x:row>
    <x:row r="16" ht="19" customHeight="1">
      <x:c r="A16" s="13" t="n">
        <x:v>12</x:v>
      </x:c>
      <x:c r="B16" s="13" t="n">
        <x:v>26</x:v>
      </x:c>
      <x:c r="C16" s="13" t="n">
        <x:v>23</x:v>
      </x:c>
      <x:c r="D16" s="12" t="n">
        <x:v>32.5</x:v>
      </x:c>
      <x:c r="E16" s="12" t="n">
        <x:v>6.5</x:v>
      </x:c>
      <x:c r="F16" s="12" t="n">
        <x:v>9.5</x:v>
      </x:c>
      <x:c r="G16" s="11" t="str">
        <x:v>Breece Hall</x:v>
      </x:c>
      <x:c r="H16" s="11" t="str">
        <x:v>NYJ</x:v>
      </x:c>
      <x:c r="I16" s="13" t="n">
        <x:v>13</x:v>
      </x:c>
      <x:c r="J16" s="12" t="n">
        <x:v>232.5</x:v>
      </x:c>
      <x:c r="K16" s="12" t="n">
        <x:v>211</x:v>
      </x:c>
      <x:c r="L16" s="12" t="n">
        <x:v>21.5</x:v>
      </x:c>
      <x:c r="M16" s="12" t="n">
        <x:v>225</x:v>
      </x:c>
      <x:c r="N16" s="12" t="n">
        <x:v>14.3</x:v>
      </x:c>
      <x:c r="O16" s="12" t="n">
        <x:v>39.9</x:v>
      </x:c>
      <x:c r="P16" s="11" t="str">
        <x:v>High</x:v>
      </x:c>
      <x:c r="Q16" s="13" t="n">
        <x:v>20</x:v>
      </x:c>
      <x:c r="R16" s="13" t="n">
        <x:v>28</x:v>
      </x:c>
      <x:c r="S16" s="12" t="n">
        <x:v>57.8</x:v>
      </x:c>
      <x:c r="T16" s="12"/>
      <x:c r="U16" s="12" t="n">
        <x:v>208.9</x:v>
      </x:c>
      <x:c r="V16" s="12" t="n">
        <x:v>220</x:v>
      </x:c>
      <x:c r="W16" s="12" t="n">
        <x:v>13</x:v>
      </x:c>
      <x:c r="X16" s="13" t="n">
        <x:v>16</x:v>
      </x:c>
      <x:c r="Y16" s="11" t="str">
        <x:v>Ques</x:v>
      </x:c>
      <x:c r="Z16" s="11" t="str">
        <x:v>Veteran model: 2025 form, prior-year trend and same team pass/run forecast; team pass volume #20, rush volume #28</x:v>
      </x:c>
    </x:row>
    <x:row r="17" ht="19" customHeight="1">
      <x:c r="A17" s="13" t="n">
        <x:v>13</x:v>
      </x:c>
      <x:c r="B17" s="13" t="n">
        <x:v>30</x:v>
      </x:c>
      <x:c r="C17" s="13" t="n">
        <x:v>45</x:v>
      </x:c>
      <x:c r="D17" s="12" t="n">
        <x:v>20.3</x:v>
      </x:c>
      <x:c r="E17" s="12" t="n">
        <x:v>-9.7</x:v>
      </x:c>
      <x:c r="F17" s="12" t="n">
        <x:v>-24.7</x:v>
      </x:c>
      <x:c r="G17" s="11" t="str">
        <x:v>Derrick Henry</x:v>
      </x:c>
      <x:c r="H17" s="11" t="str">
        <x:v>BAL</x:v>
      </x:c>
      <x:c r="I17" s="13" t="n">
        <x:v>13</x:v>
      </x:c>
      <x:c r="J17" s="12" t="n">
        <x:v>210.5</x:v>
      </x:c>
      <x:c r="K17" s="12" t="n">
        <x:v>247</x:v>
      </x:c>
      <x:c r="L17" s="12" t="n">
        <x:v>-36.5</x:v>
      </x:c>
      <x:c r="M17" s="12" t="n">
        <x:v>223.3</x:v>
      </x:c>
      <x:c r="N17" s="12" t="n">
        <x:v>12.8</x:v>
      </x:c>
      <x:c r="O17" s="12" t="n">
        <x:v>34.4</x:v>
      </x:c>
      <x:c r="P17" s="11" t="str">
        <x:v>High</x:v>
      </x:c>
      <x:c r="Q17" s="13" t="n">
        <x:v>32</x:v>
      </x:c>
      <x:c r="R17" s="13" t="n">
        <x:v>1</x:v>
      </x:c>
      <x:c r="S17" s="12" t="n">
        <x:v>26.6</x:v>
      </x:c>
      <x:c r="T17" s="12"/>
      <x:c r="U17" s="12" t="n">
        <x:v>268.1</x:v>
      </x:c>
      <x:c r="V17" s="12" t="n">
        <x:v>281</x:v>
      </x:c>
      <x:c r="W17" s="12" t="n">
        <x:v>16.4</x:v>
      </x:c>
      <x:c r="X17" s="13" t="n">
        <x:v>17</x:v>
      </x:c>
      <x:c r="Y17" s="11"/>
      <x:c r="Z17" s="11" t="str">
        <x:v>Veteran model: 2025 form, prior-year trend and same team pass/run forecast; team pass volume #32, rush volume #1</x:v>
      </x:c>
    </x:row>
    <x:row r="18" ht="19" customHeight="1">
      <x:c r="A18" s="13" t="n">
        <x:v>14</x:v>
      </x:c>
      <x:c r="B18" s="13" t="n">
        <x:v>36</x:v>
      </x:c>
      <x:c r="C18" s="13" t="n">
        <x:v>32</x:v>
      </x:c>
      <x:c r="D18" s="12" t="n">
        <x:v>31.4</x:v>
      </x:c>
      <x:c r="E18" s="12" t="n">
        <x:v>-4.6</x:v>
      </x:c>
      <x:c r="F18" s="12" t="n">
        <x:v>-0.6</x:v>
      </x:c>
      <x:c r="G18" s="11" t="str">
        <x:v>Josh Jacobs</x:v>
      </x:c>
      <x:c r="H18" s="11" t="str">
        <x:v>GB</x:v>
      </x:c>
      <x:c r="I18" s="13" t="n">
        <x:v>11</x:v>
      </x:c>
      <x:c r="J18" s="12" t="n">
        <x:v>228.4</x:v>
      </x:c>
      <x:c r="K18" s="12" t="n">
        <x:v>203</x:v>
      </x:c>
      <x:c r="L18" s="12" t="n">
        <x:v>25.4</x:v>
      </x:c>
      <x:c r="M18" s="12" t="n">
        <x:v>219.5</x:v>
      </x:c>
      <x:c r="N18" s="12" t="n">
        <x:v>12.4</x:v>
      </x:c>
      <x:c r="O18" s="12" t="n">
        <x:v>30.6</x:v>
      </x:c>
      <x:c r="P18" s="11" t="str">
        <x:v>High</x:v>
      </x:c>
      <x:c r="Q18" s="13" t="n">
        <x:v>30</x:v>
      </x:c>
      <x:c r="R18" s="13" t="n">
        <x:v>4</x:v>
      </x:c>
      <x:c r="S18" s="12" t="n">
        <x:v>49.4</x:v>
      </x:c>
      <x:c r="T18" s="12"/>
      <x:c r="U18" s="12" t="n">
        <x:v>249.6</x:v>
      </x:c>
      <x:c r="V18" s="12" t="n">
        <x:v>217</x:v>
      </x:c>
      <x:c r="W18" s="12" t="n">
        <x:v>15.8</x:v>
      </x:c>
      <x:c r="X18" s="13" t="n">
        <x:v>15</x:v>
      </x:c>
      <x:c r="Y18" s="11" t="str">
        <x:v>Ques</x:v>
      </x:c>
      <x:c r="Z18" s="11" t="str">
        <x:v>Veteran model: 2025 form, prior-year trend and same team pass/run forecast; team pass volume #30, rush volume #4</x:v>
      </x:c>
    </x:row>
    <x:row r="19" ht="19" customHeight="1">
      <x:c r="A19" s="13" t="n">
        <x:v>15</x:v>
      </x:c>
      <x:c r="B19" s="13" t="n">
        <x:v>32</x:v>
      </x:c>
      <x:c r="C19" s="13" t="n">
        <x:v>30</x:v>
      </x:c>
      <x:c r="D19" s="12" t="n">
        <x:v>29.2</x:v>
      </x:c>
      <x:c r="E19" s="12" t="n">
        <x:v>-2.8</x:v>
      </x:c>
      <x:c r="F19" s="12" t="n">
        <x:v>-0.8</x:v>
      </x:c>
      <x:c r="G19" s="11" t="str">
        <x:v>Kyren Williams</x:v>
      </x:c>
      <x:c r="H19" s="11" t="str">
        <x:v>LAR</x:v>
      </x:c>
      <x:c r="I19" s="13" t="n">
        <x:v>11</x:v>
      </x:c>
      <x:c r="J19" s="12" t="n">
        <x:v>224.2</x:v>
      </x:c>
      <x:c r="K19" s="12" t="n">
        <x:v>208</x:v>
      </x:c>
      <x:c r="L19" s="12" t="n">
        <x:v>16.2</x:v>
      </x:c>
      <x:c r="M19" s="12" t="n">
        <x:v>218.5</x:v>
      </x:c>
      <x:c r="N19" s="12" t="n">
        <x:v>13.7</x:v>
      </x:c>
      <x:c r="O19" s="12" t="n">
        <x:v>33</x:v>
      </x:c>
      <x:c r="P19" s="11" t="str">
        <x:v>High</x:v>
      </x:c>
      <x:c r="Q19" s="13" t="n">
        <x:v>7</x:v>
      </x:c>
      <x:c r="R19" s="13" t="n">
        <x:v>14</x:v>
      </x:c>
      <x:c r="S19" s="12" t="n">
        <x:v>47</x:v>
      </x:c>
      <x:c r="T19" s="12"/>
      <x:c r="U19" s="12" t="n">
        <x:v>240.2</x:v>
      </x:c>
      <x:c r="V19" s="12" t="n">
        <x:v>228</x:v>
      </x:c>
      <x:c r="W19" s="12" t="n">
        <x:v>15.5</x:v>
      </x:c>
      <x:c r="X19" s="13" t="n">
        <x:v>17</x:v>
      </x:c>
      <x:c r="Y19" s="11"/>
      <x:c r="Z19" s="11" t="str">
        <x:v>Veteran model: 2025 form, prior-year trend and same team pass/run forecast; team pass volume #7, rush volume #14</x:v>
      </x:c>
    </x:row>
    <x:row r="20" ht="19" customHeight="1">
      <x:c r="A20" s="13" t="n">
        <x:v>16</x:v>
      </x:c>
      <x:c r="B20" s="13" t="n">
        <x:v>33</x:v>
      </x:c>
      <x:c r="C20" s="13" t="n">
        <x:v>31</x:v>
      </x:c>
      <x:c r="D20" s="12" t="n">
        <x:v>36.2</x:v>
      </x:c>
      <x:c r="E20" s="12" t="n">
        <x:v>3.2</x:v>
      </x:c>
      <x:c r="F20" s="12" t="n">
        <x:v>5.2</x:v>
      </x:c>
      <x:c r="G20" s="11" t="str">
        <x:v>Javonte Williams</x:v>
      </x:c>
      <x:c r="H20" s="11" t="str">
        <x:v>DAL</x:v>
      </x:c>
      <x:c r="I20" s="13" t="n">
        <x:v>14</x:v>
      </x:c>
      <x:c r="J20" s="12" t="n">
        <x:v>224.4</x:v>
      </x:c>
      <x:c r="K20" s="12" t="n">
        <x:v>207</x:v>
      </x:c>
      <x:c r="L20" s="12" t="n">
        <x:v>17.4</x:v>
      </x:c>
      <x:c r="M20" s="12" t="n">
        <x:v>218.3</x:v>
      </x:c>
      <x:c r="N20" s="12" t="n">
        <x:v>13.6</x:v>
      </x:c>
      <x:c r="O20" s="12" t="n">
        <x:v>32.6</x:v>
      </x:c>
      <x:c r="P20" s="11" t="str">
        <x:v>High</x:v>
      </x:c>
      <x:c r="Q20" s="13" t="n">
        <x:v>2</x:v>
      </x:c>
      <x:c r="R20" s="13" t="n">
        <x:v>20</x:v>
      </x:c>
      <x:c r="S20" s="12" t="n">
        <x:v>53.8</x:v>
      </x:c>
      <x:c r="T20" s="12"/>
      <x:c r="U20" s="12" t="n">
        <x:v>233.1</x:v>
      </x:c>
      <x:c r="V20" s="12" t="n">
        <x:v>239</x:v>
      </x:c>
      <x:c r="W20" s="12" t="n">
        <x:v>15.2</x:v>
      </x:c>
      <x:c r="X20" s="13" t="n">
        <x:v>16</x:v>
      </x:c>
      <x:c r="Y20" s="11"/>
      <x:c r="Z20" s="11" t="str">
        <x:v>Veteran model: 2025 form, prior-year trend and same team pass/run forecast; team pass volume #2, rush volume #20</x:v>
      </x:c>
    </x:row>
    <x:row r="21" ht="19" customHeight="1">
      <x:c r="A21" s="13" t="n">
        <x:v>17</x:v>
      </x:c>
      <x:c r="B21" s="13" t="n">
        <x:v>39</x:v>
      </x:c>
      <x:c r="C21" s="13" t="n">
        <x:v>37</x:v>
      </x:c>
      <x:c r="D21" s="12" t="n">
        <x:v>55.1</x:v>
      </x:c>
      <x:c r="E21" s="12" t="n">
        <x:v>16.1</x:v>
      </x:c>
      <x:c r="F21" s="12" t="n">
        <x:v>18.1</x:v>
      </x:c>
      <x:c r="G21" s="11" t="str">
        <x:v>D'Andre Swift</x:v>
      </x:c>
      <x:c r="H21" s="11" t="str">
        <x:v>CHI</x:v>
      </x:c>
      <x:c r="I21" s="13" t="n">
        <x:v>10</x:v>
      </x:c>
      <x:c r="J21" s="12" t="n">
        <x:v>219.1</x:v>
      </x:c>
      <x:c r="K21" s="12" t="n">
        <x:v>208</x:v>
      </x:c>
      <x:c r="L21" s="12" t="n">
        <x:v>11.1</x:v>
      </x:c>
      <x:c r="M21" s="12" t="n">
        <x:v>215.2</x:v>
      </x:c>
      <x:c r="N21" s="12" t="n">
        <x:v>13.1</x:v>
      </x:c>
      <x:c r="O21" s="12" t="n">
        <x:v>29</x:v>
      </x:c>
      <x:c r="P21" s="11" t="str">
        <x:v>High</x:v>
      </x:c>
      <x:c r="Q21" s="13" t="n">
        <x:v>13</x:v>
      </x:c>
      <x:c r="R21" s="13" t="n">
        <x:v>6</x:v>
      </x:c>
      <x:c r="S21" s="12" t="n">
        <x:v>49.4</x:v>
      </x:c>
      <x:c r="T21" s="12"/>
      <x:c r="U21" s="12" t="n">
        <x:v>232.6</x:v>
      </x:c>
      <x:c r="V21" s="12" t="n">
        <x:v>217</x:v>
      </x:c>
      <x:c r="W21" s="12" t="n">
        <x:v>14.3</x:v>
      </x:c>
      <x:c r="X21" s="13" t="n">
        <x:v>16</x:v>
      </x:c>
      <x:c r="Y21" s="11"/>
      <x:c r="Z21" s="11" t="str">
        <x:v>Veteran model: 2025 form, prior-year trend and same team pass/run forecast; team pass volume #13, rush volume #6</x:v>
      </x:c>
    </x:row>
    <x:row r="22" ht="19" customHeight="1">
      <x:c r="A22" s="13" t="n">
        <x:v>18</x:v>
      </x:c>
      <x:c r="B22" s="13" t="n">
        <x:v>41</x:v>
      </x:c>
      <x:c r="C22" s="13" t="n">
        <x:v>43</x:v>
      </x:c>
      <x:c r="D22" s="12" t="n">
        <x:v>44.7</x:v>
      </x:c>
      <x:c r="E22" s="12" t="n">
        <x:v>3.7</x:v>
      </x:c>
      <x:c r="F22" s="12" t="n">
        <x:v>1.7</x:v>
      </x:c>
      <x:c r="G22" s="11" t="str">
        <x:v>Travis Etienne</x:v>
      </x:c>
      <x:c r="H22" s="11" t="str">
        <x:v>NO</x:v>
      </x:c>
      <x:c r="I22" s="13" t="n">
        <x:v>8</x:v>
      </x:c>
      <x:c r="J22" s="12" t="n">
        <x:v>211.2</x:v>
      </x:c>
      <x:c r="K22" s="12" t="n">
        <x:v>208</x:v>
      </x:c>
      <x:c r="L22" s="12" t="n">
        <x:v>3.2</x:v>
      </x:c>
      <x:c r="M22" s="12" t="n">
        <x:v>210.1</x:v>
      </x:c>
      <x:c r="N22" s="12" t="n">
        <x:v>13.8</x:v>
      </x:c>
      <x:c r="O22" s="12" t="n">
        <x:v>26.4</x:v>
      </x:c>
      <x:c r="P22" s="11" t="str">
        <x:v>High</x:v>
      </x:c>
      <x:c r="Q22" s="13" t="n">
        <x:v>8</x:v>
      </x:c>
      <x:c r="R22" s="13" t="n">
        <x:v>22</x:v>
      </x:c>
      <x:c r="S22" s="12" t="n">
        <x:v>54.8</x:v>
      </x:c>
      <x:c r="T22" s="12"/>
      <x:c r="U22" s="12" t="n">
        <x:v>219.5</x:v>
      </x:c>
      <x:c r="V22" s="12" t="n">
        <x:v>226</x:v>
      </x:c>
      <x:c r="W22" s="12" t="n">
        <x:v>14.9</x:v>
      </x:c>
      <x:c r="X22" s="13" t="n">
        <x:v>17</x:v>
      </x:c>
      <x:c r="Y22" s="11"/>
      <x:c r="Z22" s="11" t="str">
        <x:v>Veteran model: 2025 form, prior-year trend and new team pass/run forecast; team pass volume #8, rush volume #22</x:v>
      </x:c>
    </x:row>
    <x:row r="23" ht="19" customHeight="1">
      <x:c r="A23" s="13" t="n">
        <x:v>19</x:v>
      </x:c>
      <x:c r="B23" s="13" t="n">
        <x:v>45</x:v>
      </x:c>
      <x:c r="C23" s="13" t="n">
        <x:v>66</x:v>
      </x:c>
      <x:c r="D23" s="12" t="n">
        <x:v>19.9</x:v>
      </x:c>
      <x:c r="E23" s="12" t="n">
        <x:v>-25.1</x:v>
      </x:c>
      <x:c r="F23" s="12" t="n">
        <x:v>-46.1</x:v>
      </x:c>
      <x:c r="G23" s="11" t="str">
        <x:v>Kenneth Walker</x:v>
      </x:c>
      <x:c r="H23" s="11" t="str">
        <x:v>KC</x:v>
      </x:c>
      <x:c r="I23" s="13" t="n">
        <x:v>5</x:v>
      </x:c>
      <x:c r="J23" s="12" t="n">
        <x:v>191.6</x:v>
      </x:c>
      <x:c r="K23" s="12" t="n">
        <x:v>244</x:v>
      </x:c>
      <x:c r="L23" s="12" t="n">
        <x:v>-52.4</x:v>
      </x:c>
      <x:c r="M23" s="12" t="n">
        <x:v>209.9</x:v>
      </x:c>
      <x:c r="N23" s="12" t="n">
        <x:v>13.6</x:v>
      </x:c>
      <x:c r="O23" s="12" t="n">
        <x:v>25.8</x:v>
      </x:c>
      <x:c r="P23" s="11" t="str">
        <x:v>High</x:v>
      </x:c>
      <x:c r="Q23" s="13" t="n">
        <x:v>5</x:v>
      </x:c>
      <x:c r="R23" s="13" t="n">
        <x:v>25</x:v>
      </x:c>
      <x:c r="S23" s="12" t="n">
        <x:v>45.3</x:v>
      </x:c>
      <x:c r="T23" s="12"/>
      <x:c r="U23" s="12" t="n">
        <x:v>208.5</x:v>
      </x:c>
      <x:c r="V23" s="12" t="n">
        <x:v>259</x:v>
      </x:c>
      <x:c r="W23" s="12" t="n">
        <x:v>11.3</x:v>
      </x:c>
      <x:c r="X23" s="13" t="n">
        <x:v>17</x:v>
      </x:c>
      <x:c r="Y23" s="11"/>
      <x:c r="Z23" s="11" t="str">
        <x:v>Veteran model: 2025 form, prior-year trend and new team pass/run forecast; team pass volume #5, rush volume #25</x:v>
      </x:c>
    </x:row>
    <x:row r="24" ht="19" customHeight="1">
      <x:c r="A24" s="13" t="n">
        <x:v>20</x:v>
      </x:c>
      <x:c r="B24" s="13" t="n">
        <x:v>53</x:v>
      </x:c>
      <x:c r="C24" s="13" t="n">
        <x:v>62</x:v>
      </x:c>
      <x:c r="D24" s="12" t="n">
        <x:v>43.7</x:v>
      </x:c>
      <x:c r="E24" s="12" t="n">
        <x:v>-9.3</x:v>
      </x:c>
      <x:c r="F24" s="12" t="n">
        <x:v>-18.3</x:v>
      </x:c>
      <x:c r="G24" s="11" t="str">
        <x:v>Cam Skattebo</x:v>
      </x:c>
      <x:c r="H24" s="11" t="str">
        <x:v>NYG</x:v>
      </x:c>
      <x:c r="I24" s="13" t="n">
        <x:v>8</x:v>
      </x:c>
      <x:c r="J24" s="12" t="n">
        <x:v>200.8</x:v>
      </x:c>
      <x:c r="K24" s="12" t="n">
        <x:v>201</x:v>
      </x:c>
      <x:c r="L24" s="12" t="n">
        <x:v>-0.2</x:v>
      </x:c>
      <x:c r="M24" s="12" t="n">
        <x:v>200.9</x:v>
      </x:c>
      <x:c r="N24" s="12" t="n">
        <x:v>10.9</x:v>
      </x:c>
      <x:c r="O24" s="12" t="n">
        <x:v>14.9</x:v>
      </x:c>
      <x:c r="P24" s="11" t="str">
        <x:v>Medium</x:v>
      </x:c>
      <x:c r="Q24" s="13" t="n">
        <x:v>19</x:v>
      </x:c>
      <x:c r="R24" s="13" t="n">
        <x:v>10</x:v>
      </x:c>
      <x:c r="S24" s="12" t="n">
        <x:v>55</x:v>
      </x:c>
      <x:c r="T24" s="12"/>
      <x:c r="U24" s="12" t="n">
        <x:v>183.2</x:v>
      </x:c>
      <x:c r="V24" s="12" t="n">
        <x:v>214</x:v>
      </x:c>
      <x:c r="W24" s="12" t="n">
        <x:v>16</x:v>
      </x:c>
      <x:c r="X24" s="13" t="n">
        <x:v>8</x:v>
      </x:c>
      <x:c r="Y24" s="11"/>
      <x:c r="Z24" s="11" t="str">
        <x:v>Veteran model: 2025 form, prior-year trend and same team pass/run forecast; team pass volume #19, rush volume #10</x:v>
      </x:c>
    </x:row>
    <x:row r="25" ht="19" customHeight="1">
      <x:c r="A25" s="13" t="n">
        <x:v>21</x:v>
      </x:c>
      <x:c r="B25" s="13" t="n">
        <x:v>52</x:v>
      </x:c>
      <x:c r="C25" s="13" t="n">
        <x:v>54</x:v>
      </x:c>
      <x:c r="D25" s="12" t="n">
        <x:v>39.3</x:v>
      </x:c>
      <x:c r="E25" s="12" t="n">
        <x:v>-12.7</x:v>
      </x:c>
      <x:c r="F25" s="12" t="n">
        <x:v>-14.7</x:v>
      </x:c>
      <x:c r="G25" s="11" t="str">
        <x:v>Bucky Irving</x:v>
      </x:c>
      <x:c r="H25" s="11" t="str">
        <x:v>TB</x:v>
      </x:c>
      <x:c r="I25" s="13" t="n">
        <x:v>10</x:v>
      </x:c>
      <x:c r="J25" s="12" t="n">
        <x:v>204.4</x:v>
      </x:c>
      <x:c r="K25" s="12" t="n">
        <x:v>197</x:v>
      </x:c>
      <x:c r="L25" s="12" t="n">
        <x:v>7.4</x:v>
      </x:c>
      <x:c r="M25" s="12" t="n">
        <x:v>200.7</x:v>
      </x:c>
      <x:c r="N25" s="12" t="n">
        <x:v>11.7</x:v>
      </x:c>
      <x:c r="O25" s="12" t="n">
        <x:v>15.9</x:v>
      </x:c>
      <x:c r="P25" s="11" t="str">
        <x:v>Medium</x:v>
      </x:c>
      <x:c r="Q25" s="13" t="n">
        <x:v>12</x:v>
      </x:c>
      <x:c r="R25" s="13" t="n">
        <x:v>11</x:v>
      </x:c>
      <x:c r="S25" s="12" t="n">
        <x:v>54</x:v>
      </x:c>
      <x:c r="T25" s="12"/>
      <x:c r="U25" s="12" t="n">
        <x:v>199.5</x:v>
      </x:c>
      <x:c r="V25" s="12" t="n">
        <x:v>211</x:v>
      </x:c>
      <x:c r="W25" s="12" t="n">
        <x:v>13.8</x:v>
      </x:c>
      <x:c r="X25" s="13" t="n">
        <x:v>10</x:v>
      </x:c>
      <x:c r="Y25" s="11"/>
      <x:c r="Z25" s="11" t="str">
        <x:v>Veteran model: 2025 form, prior-year trend and same team pass/run forecast; team pass volume #12, rush volume #11</x:v>
      </x:c>
    </x:row>
    <x:row r="26" ht="19" customHeight="1">
      <x:c r="A26" s="13" t="n">
        <x:v>22</x:v>
      </x:c>
      <x:c r="B26" s="13" t="n">
        <x:v>51</x:v>
      </x:c>
      <x:c r="C26" s="13" t="n">
        <x:v>50</x:v>
      </x:c>
      <x:c r="D26" s="12" t="n">
        <x:v>53.2</x:v>
      </x:c>
      <x:c r="E26" s="12" t="n">
        <x:v>2.2</x:v>
      </x:c>
      <x:c r="F26" s="12" t="n">
        <x:v>3.2</x:v>
      </x:c>
      <x:c r="G26" s="11" t="str">
        <x:v>Quinshon Judkins</x:v>
      </x:c>
      <x:c r="H26" s="11" t="str">
        <x:v>CLE</x:v>
      </x:c>
      <x:c r="I26" s="13" t="n">
        <x:v>11</x:v>
      </x:c>
      <x:c r="J26" s="12" t="n">
        <x:v>204</x:v>
      </x:c>
      <x:c r="K26" s="12" t="n">
        <x:v>196</x:v>
      </x:c>
      <x:c r="L26" s="12" t="n">
        <x:v>8</x:v>
      </x:c>
      <x:c r="M26" s="12" t="n">
        <x:v>200</x:v>
      </x:c>
      <x:c r="N26" s="12" t="n">
        <x:v>12.9</x:v>
      </x:c>
      <x:c r="O26" s="12" t="n">
        <x:v>17</x:v>
      </x:c>
      <x:c r="P26" s="11" t="str">
        <x:v>Medium</x:v>
      </x:c>
      <x:c r="Q26" s="13" t="n">
        <x:v>4</x:v>
      </x:c>
      <x:c r="R26" s="13" t="n">
        <x:v>26</x:v>
      </x:c>
      <x:c r="S26" s="12" t="n">
        <x:v>45.1</x:v>
      </x:c>
      <x:c r="T26" s="12"/>
      <x:c r="U26" s="12" t="n">
        <x:v>222.9</x:v>
      </x:c>
      <x:c r="V26" s="12" t="n">
        <x:v>244</x:v>
      </x:c>
      <x:c r="W26" s="12" t="n">
        <x:v>12.1</x:v>
      </x:c>
      <x:c r="X26" s="13" t="n">
        <x:v>14</x:v>
      </x:c>
      <x:c r="Y26" s="11" t="str">
        <x:v>Ques</x:v>
      </x:c>
      <x:c r="Z26" s="11" t="str">
        <x:v>Veteran model: 2025 form, prior-year trend and same team pass/run forecast; team pass volume #4, rush volume #26</x:v>
      </x:c>
    </x:row>
    <x:row r="27" ht="19" customHeight="1">
      <x:c r="A27" s="13" t="n">
        <x:v>23</x:v>
      </x:c>
      <x:c r="B27" s="13" t="n">
        <x:v>69</x:v>
      </x:c>
      <x:c r="C27" s="13" t="n">
        <x:v>49</x:v>
      </x:c>
      <x:c r="D27" s="12" t="n">
        <x:v>52.2</x:v>
      </x:c>
      <x:c r="E27" s="12" t="n">
        <x:v>-16.8</x:v>
      </x:c>
      <x:c r="F27" s="12" t="n">
        <x:v>3.2</x:v>
      </x:c>
      <x:c r="G27" s="11" t="str">
        <x:v>TreVeyon Henderson</x:v>
      </x:c>
      <x:c r="H27" s="11" t="str">
        <x:v>NE</x:v>
      </x:c>
      <x:c r="I27" s="13" t="n">
        <x:v>11</x:v>
      </x:c>
      <x:c r="J27" s="12" t="n">
        <x:v>204</x:v>
      </x:c>
      <x:c r="K27" s="12" t="n">
        <x:v>171</x:v>
      </x:c>
      <x:c r="L27" s="12" t="n">
        <x:v>33</x:v>
      </x:c>
      <x:c r="M27" s="12" t="n">
        <x:v>187.5</x:v>
      </x:c>
      <x:c r="N27" s="12" t="n">
        <x:v>13.6</x:v>
      </x:c>
      <x:c r="O27" s="12" t="n">
        <x:v>7.9</x:v>
      </x:c>
      <x:c r="P27" s="11" t="str">
        <x:v>Medium</x:v>
      </x:c>
      <x:c r="Q27" s="13" t="n">
        <x:v>27</x:v>
      </x:c>
      <x:c r="R27" s="13" t="n">
        <x:v>12</x:v>
      </x:c>
      <x:c r="S27" s="12" t="n">
        <x:v>50.5</x:v>
      </x:c>
      <x:c r="T27" s="12"/>
      <x:c r="U27" s="12" t="n">
        <x:v>203.7</x:v>
      </x:c>
      <x:c r="V27" s="12" t="n">
        <x:v>170</x:v>
      </x:c>
      <x:c r="W27" s="12" t="n">
        <x:v>12.1</x:v>
      </x:c>
      <x:c r="X27" s="13" t="n">
        <x:v>17</x:v>
      </x:c>
      <x:c r="Y27" s="11"/>
      <x:c r="Z27" s="11" t="str">
        <x:v>Veteran model: 2025 form, prior-year trend and same team pass/run forecast; team pass volume #27, rush volume #12</x:v>
      </x:c>
    </x:row>
    <x:row r="28" ht="19" customHeight="1">
      <x:c r="A28" s="13" t="n">
        <x:v>24</x:v>
      </x:c>
      <x:c r="B28" s="13" t="n">
        <x:v>81</x:v>
      </x:c>
      <x:c r="C28" s="13" t="n">
        <x:v>39</x:v>
      </x:c>
      <x:c r="D28" s="12" t="n">
        <x:v>69.7</x:v>
      </x:c>
      <x:c r="E28" s="12" t="n">
        <x:v>-11.3</x:v>
      </x:c>
      <x:c r="F28" s="12" t="n">
        <x:v>30.7</x:v>
      </x:c>
      <x:c r="G28" s="11" t="str">
        <x:v>Jadarian Price</x:v>
      </x:c>
      <x:c r="H28" s="11" t="str">
        <x:v>SEA</x:v>
      </x:c>
      <x:c r="I28" s="13" t="n">
        <x:v>11</x:v>
      </x:c>
      <x:c r="J28" s="12" t="n">
        <x:v>221.7</x:v>
      </x:c>
      <x:c r="K28" s="12" t="n">
        <x:v>170</x:v>
      </x:c>
      <x:c r="L28" s="12" t="n">
        <x:v>51.7</x:v>
      </x:c>
      <x:c r="M28" s="12" t="n">
        <x:v>182.9</x:v>
      </x:c>
      <x:c r="N28" s="12" t="n">
        <x:v>11.6</x:v>
      </x:c>
      <x:c r="O28" s="12" t="n">
        <x:v>3.6</x:v>
      </x:c>
      <x:c r="P28" s="11" t="str">
        <x:v>Low</x:v>
      </x:c>
      <x:c r="Q28" s="13" t="n">
        <x:v>23</x:v>
      </x:c>
      <x:c r="R28" s="13" t="n">
        <x:v>21</x:v>
      </x:c>
      <x:c r="S28" s="12" t="n">
        <x:v>0</x:v>
      </x:c>
      <x:c r="T28" s="12"/>
      <x:c r="U28" s="12" t="n">
        <x:v>0</x:v>
      </x:c>
      <x:c r="V28" s="12" t="n">
        <x:v>212</x:v>
      </x:c>
      <x:c r="W28" s="12"/>
      <x:c r="X28" s="13"/>
      <x:c r="Y28" s="11"/>
      <x:c r="Z28" s="11" t="str">
        <x:v>Rookie model: pick 32, age and destination-team environment; team pass volume #23, rush volume #21</x:v>
      </x:c>
    </x:row>
    <x:row r="29" ht="19" customHeight="1">
      <x:c r="A29" s="13" t="n">
        <x:v>25</x:v>
      </x:c>
      <x:c r="B29" s="13" t="n">
        <x:v>86</x:v>
      </x:c>
      <x:c r="C29" s="13" t="n">
        <x:v>85</x:v>
      </x:c>
      <x:c r="D29" s="12" t="n">
        <x:v>73.6</x:v>
      </x:c>
      <x:c r="E29" s="12" t="n">
        <x:v>-12.4</x:v>
      </x:c>
      <x:c r="F29" s="12" t="n">
        <x:v>-11.4</x:v>
      </x:c>
      <x:c r="G29" s="11" t="str">
        <x:v>Jaylen Warren</x:v>
      </x:c>
      <x:c r="H29" s="11" t="str">
        <x:v>PIT</x:v>
      </x:c>
      <x:c r="I29" s="13" t="n">
        <x:v>9</x:v>
      </x:c>
      <x:c r="J29" s="12" t="n">
        <x:v>181.1</x:v>
      </x:c>
      <x:c r="K29" s="12" t="n">
        <x:v>171</x:v>
      </x:c>
      <x:c r="L29" s="12" t="n">
        <x:v>10.1</x:v>
      </x:c>
      <x:c r="M29" s="12" t="n">
        <x:v>177.6</x:v>
      </x:c>
      <x:c r="N29" s="12" t="n">
        <x:v>12.7</x:v>
      </x:c>
      <x:c r="O29" s="12" t="n">
        <x:v>0</x:v>
      </x:c>
      <x:c r="P29" s="11" t="str">
        <x:v>High</x:v>
      </x:c>
      <x:c r="Q29" s="13" t="n">
        <x:v>24</x:v>
      </x:c>
      <x:c r="R29" s="13" t="n">
        <x:v>18</x:v>
      </x:c>
      <x:c r="S29" s="12" t="n">
        <x:v>47.9</x:v>
      </x:c>
      <x:c r="T29" s="12"/>
      <x:c r="U29" s="12" t="n">
        <x:v>182.4</x:v>
      </x:c>
      <x:c r="V29" s="12" t="n">
        <x:v>172</x:v>
      </x:c>
      <x:c r="W29" s="12" t="n">
        <x:v>13.6</x:v>
      </x:c>
      <x:c r="X29" s="13" t="n">
        <x:v>16</x:v>
      </x:c>
      <x:c r="Y29" s="11"/>
      <x:c r="Z29" s="11" t="str">
        <x:v>Veteran model: 2025 form, prior-year trend and same team pass/run forecast; team pass volume #24, rush volume #18</x:v>
      </x:c>
    </x:row>
    <x:row r="30" ht="19" customHeight="1">
      <x:c r="A30" s="13" t="n">
        <x:v>26</x:v>
      </x:c>
      <x:c r="B30" s="13" t="n">
        <x:v>94</x:v>
      </x:c>
      <x:c r="C30" s="13" t="n">
        <x:v>81</x:v>
      </x:c>
      <x:c r="D30" s="12" t="n">
        <x:v>92.6</x:v>
      </x:c>
      <x:c r="E30" s="12" t="n">
        <x:v>-1.4</x:v>
      </x:c>
      <x:c r="F30" s="12" t="n">
        <x:v>11.6</x:v>
      </x:c>
      <x:c r="G30" s="11" t="str">
        <x:v>J.K. Dobbins</x:v>
      </x:c>
      <x:c r="H30" s="11" t="str">
        <x:v>DEN</x:v>
      </x:c>
      <x:c r="I30" s="13" t="n">
        <x:v>10</x:v>
      </x:c>
      <x:c r="J30" s="12" t="n">
        <x:v>184.8</x:v>
      </x:c>
      <x:c r="K30" s="12" t="n">
        <x:v>160</x:v>
      </x:c>
      <x:c r="L30" s="12" t="n">
        <x:v>24.8</x:v>
      </x:c>
      <x:c r="M30" s="12" t="n">
        <x:v>172.4</x:v>
      </x:c>
      <x:c r="N30" s="12" t="n">
        <x:v>11</x:v>
      </x:c>
      <x:c r="O30" s="12" t="n">
        <x:v>-3.4</x:v>
      </x:c>
      <x:c r="P30" s="11" t="str">
        <x:v>Medium</x:v>
      </x:c>
      <x:c r="Q30" s="13" t="n">
        <x:v>6</x:v>
      </x:c>
      <x:c r="R30" s="13" t="n">
        <x:v>19</x:v>
      </x:c>
      <x:c r="S30" s="12" t="n">
        <x:v>32.4</x:v>
      </x:c>
      <x:c r="T30" s="12"/>
      <x:c r="U30" s="12" t="n">
        <x:v>234.2</x:v>
      </x:c>
      <x:c r="V30" s="12" t="n">
        <x:v>171</x:v>
      </x:c>
      <x:c r="W30" s="12" t="n">
        <x:v>11.6</x:v>
      </x:c>
      <x:c r="X30" s="13" t="n">
        <x:v>10</x:v>
      </x:c>
      <x:c r="Y30" s="11"/>
      <x:c r="Z30" s="11" t="str">
        <x:v>Veteran model: 2025 form, prior-year trend and same team pass/run forecast; team pass volume #6, rush volume #19</x:v>
      </x:c>
    </x:row>
    <x:row r="31" ht="19" customHeight="1">
      <x:c r="A31" s="13" t="n">
        <x:v>27</x:v>
      </x:c>
      <x:c r="B31" s="13" t="n">
        <x:v>103</x:v>
      </x:c>
      <x:c r="C31" s="13" t="n">
        <x:v>96</x:v>
      </x:c>
      <x:c r="D31" s="12" t="n">
        <x:v>87.6</x:v>
      </x:c>
      <x:c r="E31" s="12" t="n">
        <x:v>-15.4</x:v>
      </x:c>
      <x:c r="F31" s="12" t="n">
        <x:v>-8.4</x:v>
      </x:c>
      <x:c r="G31" s="11" t="str">
        <x:v>Tony Pollard</x:v>
      </x:c>
      <x:c r="H31" s="11" t="str">
        <x:v>TEN</x:v>
      </x:c>
      <x:c r="I31" s="13" t="n">
        <x:v>9</x:v>
      </x:c>
      <x:c r="J31" s="12" t="n">
        <x:v>172.8</x:v>
      </x:c>
      <x:c r="K31" s="12" t="n">
        <x:v>160</x:v>
      </x:c>
      <x:c r="L31" s="12" t="n">
        <x:v>12.8</x:v>
      </x:c>
      <x:c r="M31" s="12" t="n">
        <x:v>168.3</x:v>
      </x:c>
      <x:c r="N31" s="12" t="n">
        <x:v>12</x:v>
      </x:c>
      <x:c r="O31" s="12" t="n">
        <x:v>-6.6</x:v>
      </x:c>
      <x:c r="P31" s="11" t="str">
        <x:v>High</x:v>
      </x:c>
      <x:c r="Q31" s="13" t="n">
        <x:v>18</x:v>
      </x:c>
      <x:c r="R31" s="13" t="n">
        <x:v>30</x:v>
      </x:c>
      <x:c r="S31" s="12" t="n">
        <x:v>38.5</x:v>
      </x:c>
      <x:c r="T31" s="12"/>
      <x:c r="U31" s="12" t="n">
        <x:v>208</x:v>
      </x:c>
      <x:c r="V31" s="12" t="n">
        <x:v>189</x:v>
      </x:c>
      <x:c r="W31" s="12" t="n">
        <x:v>10.9</x:v>
      </x:c>
      <x:c r="X31" s="13" t="n">
        <x:v>17</x:v>
      </x:c>
      <x:c r="Y31" s="11"/>
      <x:c r="Z31" s="11" t="str">
        <x:v>Veteran model: 2025 form, prior-year trend and same team pass/run forecast; team pass volume #18, rush volume #30</x:v>
      </x:c>
    </x:row>
    <x:row r="32" ht="19" customHeight="1">
      <x:c r="A32" s="13" t="n">
        <x:v>28</x:v>
      </x:c>
      <x:c r="B32" s="13" t="n">
        <x:v>102</x:v>
      </x:c>
      <x:c r="C32" s="13" t="n">
        <x:v>105</x:v>
      </x:c>
      <x:c r="D32" s="12" t="n">
        <x:v>85.1</x:v>
      </x:c>
      <x:c r="E32" s="12" t="n">
        <x:v>-16.9</x:v>
      </x:c>
      <x:c r="F32" s="12" t="n">
        <x:v>-19.9</x:v>
      </x:c>
      <x:c r="G32" s="11" t="str">
        <x:v>Rhamondre Stevenson</x:v>
      </x:c>
      <x:c r="H32" s="11" t="str">
        <x:v>NE</x:v>
      </x:c>
      <x:c r="I32" s="13" t="n">
        <x:v>11</x:v>
      </x:c>
      <x:c r="J32" s="12" t="n">
        <x:v>167.1</x:v>
      </x:c>
      <x:c r="K32" s="12" t="n">
        <x:v>169</x:v>
      </x:c>
      <x:c r="L32" s="12" t="n">
        <x:v>-1.9</x:v>
      </x:c>
      <x:c r="M32" s="12" t="n">
        <x:v>167.7</x:v>
      </x:c>
      <x:c r="N32" s="12" t="n">
        <x:v>11.3</x:v>
      </x:c>
      <x:c r="O32" s="12" t="n">
        <x:v>-6.6</x:v>
      </x:c>
      <x:c r="P32" s="11" t="str">
        <x:v>High</x:v>
      </x:c>
      <x:c r="Q32" s="13" t="n">
        <x:v>27</x:v>
      </x:c>
      <x:c r="R32" s="13" t="n">
        <x:v>12</x:v>
      </x:c>
      <x:c r="S32" s="12" t="n">
        <x:v>44.9</x:v>
      </x:c>
      <x:c r="T32" s="12"/>
      <x:c r="U32" s="12" t="n">
        <x:v>158.3</x:v>
      </x:c>
      <x:c r="V32" s="12" t="n">
        <x:v>183</x:v>
      </x:c>
      <x:c r="W32" s="12" t="n">
        <x:v>12.8</x:v>
      </x:c>
      <x:c r="X32" s="13" t="n">
        <x:v>14</x:v>
      </x:c>
      <x:c r="Y32" s="11"/>
      <x:c r="Z32" s="11" t="str">
        <x:v>Veteran model: 2025 form, prior-year trend and same team pass/run forecast; team pass volume #27, rush volume #12</x:v>
      </x:c>
    </x:row>
    <x:row r="33" ht="19" customHeight="1">
      <x:c r="A33" s="13" t="n">
        <x:v>29</x:v>
      </x:c>
      <x:c r="B33" s="13" t="n">
        <x:v>108</x:v>
      </x:c>
      <x:c r="C33" s="13" t="n">
        <x:v>71</x:v>
      </x:c>
      <x:c r="D33" s="12" t="n">
        <x:v>79.9</x:v>
      </x:c>
      <x:c r="E33" s="12" t="n">
        <x:v>-28.1</x:v>
      </x:c>
      <x:c r="F33" s="12" t="n">
        <x:v>8.9</x:v>
      </x:c>
      <x:c r="G33" s="11" t="str">
        <x:v>RJ Harvey</x:v>
      </x:c>
      <x:c r="H33" s="11" t="str">
        <x:v>DEN</x:v>
      </x:c>
      <x:c r="I33" s="13" t="n">
        <x:v>10</x:v>
      </x:c>
      <x:c r="J33" s="12" t="n">
        <x:v>189.2</x:v>
      </x:c>
      <x:c r="K33" s="12" t="n">
        <x:v>144</x:v>
      </x:c>
      <x:c r="L33" s="12" t="n">
        <x:v>45.2</x:v>
      </x:c>
      <x:c r="M33" s="12" t="n">
        <x:v>166.6</x:v>
      </x:c>
      <x:c r="N33" s="12" t="n">
        <x:v>12.7</x:v>
      </x:c>
      <x:c r="O33" s="12" t="n">
        <x:v>-8.2</x:v>
      </x:c>
      <x:c r="P33" s="11" t="str">
        <x:v>Medium</x:v>
      </x:c>
      <x:c r="Q33" s="13" t="n">
        <x:v>6</x:v>
      </x:c>
      <x:c r="R33" s="13" t="n">
        <x:v>19</x:v>
      </x:c>
      <x:c r="S33" s="12" t="n">
        <x:v>56.8</x:v>
      </x:c>
      <x:c r="T33" s="12"/>
      <x:c r="U33" s="12" t="n">
        <x:v>150.7</x:v>
      </x:c>
      <x:c r="V33" s="12" t="n">
        <x:v>124</x:v>
      </x:c>
      <x:c r="W33" s="12" t="n">
        <x:v>12.2</x:v>
      </x:c>
      <x:c r="X33" s="13" t="n">
        <x:v>17</x:v>
      </x:c>
      <x:c r="Y33" s="11"/>
      <x:c r="Z33" s="11" t="str">
        <x:v>Veteran model: 2025 form, prior-year trend and same team pass/run forecast; team pass volume #6, rush volume #19</x:v>
      </x:c>
    </x:row>
    <x:row r="34" ht="19" customHeight="1">
      <x:c r="A34" s="13" t="n">
        <x:v>30</x:v>
      </x:c>
      <x:c r="B34" s="13" t="n">
        <x:v>111</x:v>
      </x:c>
      <x:c r="C34" s="13" t="n">
        <x:v>110</x:v>
      </x:c>
      <x:c r="D34" s="12" t="n">
        <x:v>88.5</x:v>
      </x:c>
      <x:c r="E34" s="12" t="n">
        <x:v>-22.5</x:v>
      </x:c>
      <x:c r="F34" s="12" t="n">
        <x:v>-21.5</x:v>
      </x:c>
      <x:c r="G34" s="11" t="str">
        <x:v>Rico Dowdle</x:v>
      </x:c>
      <x:c r="H34" s="11" t="str">
        <x:v>PIT</x:v>
      </x:c>
      <x:c r="I34" s="13" t="n">
        <x:v>9</x:v>
      </x:c>
      <x:c r="J34" s="12" t="n">
        <x:v>166.8</x:v>
      </x:c>
      <x:c r="K34" s="12" t="n">
        <x:v>161</x:v>
      </x:c>
      <x:c r="L34" s="12" t="n">
        <x:v>5.8</x:v>
      </x:c>
      <x:c r="M34" s="12" t="n">
        <x:v>164.8</x:v>
      </x:c>
      <x:c r="N34" s="12" t="n">
        <x:v>13.3</x:v>
      </x:c>
      <x:c r="O34" s="12" t="n">
        <x:v>-10</x:v>
      </x:c>
      <x:c r="P34" s="11" t="str">
        <x:v>High</x:v>
      </x:c>
      <x:c r="Q34" s="13" t="n">
        <x:v>24</x:v>
      </x:c>
      <x:c r="R34" s="13" t="n">
        <x:v>18</x:v>
      </x:c>
      <x:c r="S34" s="12" t="n">
        <x:v>38.3</x:v>
      </x:c>
      <x:c r="T34" s="12"/>
      <x:c r="U34" s="12" t="n">
        <x:v>185.3</x:v>
      </x:c>
      <x:c r="V34" s="12" t="n">
        <x:v>159</x:v>
      </x:c>
      <x:c r="W34" s="12" t="n">
        <x:v>12.7</x:v>
      </x:c>
      <x:c r="X34" s="13" t="n">
        <x:v>17</x:v>
      </x:c>
      <x:c r="Y34" s="11"/>
      <x:c r="Z34" s="11" t="str">
        <x:v>Veteran model: 2025 form, prior-year trend and new team pass/run forecast; team pass volume #24, rush volume #18</x:v>
      </x:c>
    </x:row>
    <x:row r="35" ht="19" customHeight="1">
      <x:c r="A35" s="13" t="n">
        <x:v>31</x:v>
      </x:c>
      <x:c r="B35" s="13" t="n">
        <x:v>114</x:v>
      </x:c>
      <x:c r="C35" s="13" t="n">
        <x:v>171</x:v>
      </x:c>
      <x:c r="D35" s="12" t="n">
        <x:v>51.4</x:v>
      </x:c>
      <x:c r="E35" s="12" t="n">
        <x:v>-62.6</x:v>
      </x:c>
      <x:c r="F35" s="12" t="n">
        <x:v>-119.6</x:v>
      </x:c>
      <x:c r="G35" s="11" t="str">
        <x:v>David Montgomery</x:v>
      </x:c>
      <x:c r="H35" s="11" t="str">
        <x:v>HOU</x:v>
      </x:c>
      <x:c r="I35" s="13" t="n">
        <x:v>8</x:v>
      </x:c>
      <x:c r="J35" s="12" t="n">
        <x:v>139.3</x:v>
      </x:c>
      <x:c r="K35" s="12" t="n">
        <x:v>206</x:v>
      </x:c>
      <x:c r="L35" s="12" t="n">
        <x:v>-66.7</x:v>
      </x:c>
      <x:c r="M35" s="12" t="n">
        <x:v>162.6</x:v>
      </x:c>
      <x:c r="N35" s="12" t="n">
        <x:v>13.4</x:v>
      </x:c>
      <x:c r="O35" s="12" t="n">
        <x:v>-11.8</x:v>
      </x:c>
      <x:c r="P35" s="11" t="str">
        <x:v>High</x:v>
      </x:c>
      <x:c r="Q35" s="13" t="n">
        <x:v>9</x:v>
      </x:c>
      <x:c r="R35" s="13" t="n">
        <x:v>17</x:v>
      </x:c>
      <x:c r="S35" s="12" t="n">
        <x:v>30.2</x:v>
      </x:c>
      <x:c r="T35" s="12"/>
      <x:c r="U35" s="12" t="n">
        <x:v>131.6</x:v>
      </x:c>
      <x:c r="V35" s="12" t="n">
        <x:v>236</x:v>
      </x:c>
      <x:c r="W35" s="12" t="n">
        <x:v>9.8</x:v>
      </x:c>
      <x:c r="X35" s="13" t="n">
        <x:v>17</x:v>
      </x:c>
      <x:c r="Y35" s="11"/>
      <x:c r="Z35" s="11" t="str">
        <x:v>Veteran model: 2025 form, prior-year trend and new team pass/run forecast; team pass volume #9, rush volume #17</x:v>
      </x:c>
    </x:row>
    <x:row r="36" ht="19" customHeight="1">
      <x:c r="A36" s="13" t="n">
        <x:v>32</x:v>
      </x:c>
      <x:c r="B36" s="13" t="n">
        <x:v>124</x:v>
      </x:c>
      <x:c r="C36" s="13" t="n">
        <x:v>135</x:v>
      </x:c>
      <x:c r="D36" s="12" t="n">
        <x:v>111.4</x:v>
      </x:c>
      <x:c r="E36" s="12" t="n">
        <x:v>-12.6</x:v>
      </x:c>
      <x:c r="F36" s="12" t="n">
        <x:v>-23.6</x:v>
      </x:c>
      <x:c r="G36" s="11" t="str">
        <x:v>Kenny Gainwell</x:v>
      </x:c>
      <x:c r="H36" s="11" t="str">
        <x:v>TB</x:v>
      </x:c>
      <x:c r="I36" s="13" t="n">
        <x:v>10</x:v>
      </x:c>
      <x:c r="J36" s="12" t="n">
        <x:v>158.2</x:v>
      </x:c>
      <x:c r="K36" s="12" t="n">
        <x:v>152</x:v>
      </x:c>
      <x:c r="L36" s="12" t="n">
        <x:v>6.2</x:v>
      </x:c>
      <x:c r="M36" s="12" t="n">
        <x:v>156</x:v>
      </x:c>
      <x:c r="N36" s="12" t="n">
        <x:v>13.5</x:v>
      </x:c>
      <x:c r="O36" s="12" t="n">
        <x:v>-17.2</x:v>
      </x:c>
      <x:c r="P36" s="11" t="str">
        <x:v>High</x:v>
      </x:c>
      <x:c r="Q36" s="13" t="n">
        <x:v>12</x:v>
      </x:c>
      <x:c r="R36" s="13" t="n">
        <x:v>11</x:v>
      </x:c>
      <x:c r="S36" s="12" t="n">
        <x:v>57.5</x:v>
      </x:c>
      <x:c r="T36" s="12"/>
      <x:c r="U36" s="12" t="n">
        <x:v>107.5</x:v>
      </x:c>
      <x:c r="V36" s="12" t="n">
        <x:v>99</x:v>
      </x:c>
      <x:c r="W36" s="12" t="n">
        <x:v>13</x:v>
      </x:c>
      <x:c r="X36" s="13" t="n">
        <x:v>17</x:v>
      </x:c>
      <x:c r="Y36" s="11"/>
      <x:c r="Z36" s="11" t="str">
        <x:v>Veteran model: 2025 form, prior-year trend and new team pass/run forecast; team pass volume #12, rush volume #11</x:v>
      </x:c>
    </x:row>
    <x:row r="37" ht="19" customHeight="1">
      <x:c r="A37" s="13" t="n">
        <x:v>33</x:v>
      </x:c>
      <x:c r="B37" s="13" t="n">
        <x:v>126</x:v>
      </x:c>
      <x:c r="C37" s="13" t="n">
        <x:v>143</x:v>
      </x:c>
      <x:c r="D37" s="12" t="n">
        <x:v>96</x:v>
      </x:c>
      <x:c r="E37" s="12" t="n">
        <x:v>-30</x:v>
      </x:c>
      <x:c r="F37" s="12" t="n">
        <x:v>-47</x:v>
      </x:c>
      <x:c r="G37" s="11" t="str">
        <x:v>Kyle Monangai</x:v>
      </x:c>
      <x:c r="H37" s="11" t="str">
        <x:v>CHI</x:v>
      </x:c>
      <x:c r="I37" s="13" t="n">
        <x:v>10</x:v>
      </x:c>
      <x:c r="J37" s="12" t="n">
        <x:v>153</x:v>
      </x:c>
      <x:c r="K37" s="12" t="n">
        <x:v>155</x:v>
      </x:c>
      <x:c r="L37" s="12" t="n">
        <x:v>-2</x:v>
      </x:c>
      <x:c r="M37" s="12" t="n">
        <x:v>154</x:v>
      </x:c>
      <x:c r="N37" s="12" t="n">
        <x:v>12.5</x:v>
      </x:c>
      <x:c r="O37" s="12" t="n">
        <x:v>-17.4</x:v>
      </x:c>
      <x:c r="P37" s="11" t="str">
        <x:v>Medium</x:v>
      </x:c>
      <x:c r="Q37" s="13" t="n">
        <x:v>13</x:v>
      </x:c>
      <x:c r="R37" s="13" t="n">
        <x:v>6</x:v>
      </x:c>
      <x:c r="S37" s="12" t="n">
        <x:v>34.9</x:v>
      </x:c>
      <x:c r="T37" s="12"/>
      <x:c r="U37" s="12" t="n">
        <x:v>160.3</x:v>
      </x:c>
      <x:c r="V37" s="12" t="n">
        <x:v>166</x:v>
      </x:c>
      <x:c r="W37" s="12" t="n">
        <x:v>8.6</x:v>
      </x:c>
      <x:c r="X37" s="13" t="n">
        <x:v>17</x:v>
      </x:c>
      <x:c r="Y37" s="11" t="str">
        <x:v>Ques</x:v>
      </x:c>
      <x:c r="Z37" s="11" t="str">
        <x:v>Veteran model: 2025 form, prior-year trend and same team pass/run forecast; team pass volume #13, rush volume #6</x:v>
      </x:c>
    </x:row>
    <x:row r="38" ht="19" customHeight="1">
      <x:c r="A38" s="13" t="n">
        <x:v>34</x:v>
      </x:c>
      <x:c r="B38" s="13" t="n">
        <x:v>121</x:v>
      </x:c>
      <x:c r="C38" s="13" t="n">
        <x:v>131</x:v>
      </x:c>
      <x:c r="D38" s="12" t="n">
        <x:v>76.1</x:v>
      </x:c>
      <x:c r="E38" s="12" t="n">
        <x:v>-44.9</x:v>
      </x:c>
      <x:c r="F38" s="12" t="n">
        <x:v>-54.9</x:v>
      </x:c>
      <x:c r="G38" s="11" t="str">
        <x:v>Chuba Hubbard</x:v>
      </x:c>
      <x:c r="H38" s="11" t="str">
        <x:v>CAR</x:v>
      </x:c>
      <x:c r="I38" s="13" t="n">
        <x:v>5</x:v>
      </x:c>
      <x:c r="J38" s="12" t="n">
        <x:v>155.9</x:v>
      </x:c>
      <x:c r="K38" s="12" t="n">
        <x:v>148</x:v>
      </x:c>
      <x:c r="L38" s="12" t="n">
        <x:v>7.9</x:v>
      </x:c>
      <x:c r="M38" s="12" t="n">
        <x:v>153.1</x:v>
      </x:c>
      <x:c r="N38" s="12" t="n">
        <x:v>11.2</x:v>
      </x:c>
      <x:c r="O38" s="12" t="n">
        <x:v>-16.1</x:v>
      </x:c>
      <x:c r="P38" s="11" t="str">
        <x:v>High</x:v>
      </x:c>
      <x:c r="Q38" s="13" t="n">
        <x:v>22</x:v>
      </x:c>
      <x:c r="R38" s="13" t="n">
        <x:v>23</x:v>
      </x:c>
      <x:c r="S38" s="12" t="n">
        <x:v>43.5</x:v>
      </x:c>
      <x:c r="T38" s="12"/>
      <x:c r="U38" s="12" t="n">
        <x:v>149.4</x:v>
      </x:c>
      <x:c r="V38" s="12" t="n">
        <x:v>181</x:v>
      </x:c>
      <x:c r="W38" s="12" t="n">
        <x:v>8.4</x:v>
      </x:c>
      <x:c r="X38" s="13" t="n">
        <x:v>15</x:v>
      </x:c>
      <x:c r="Y38" s="11" t="str">
        <x:v>Ques</x:v>
      </x:c>
      <x:c r="Z38" s="11" t="str">
        <x:v>Veteran model: 2025 form, prior-year trend and same team pass/run forecast; team pass volume #22, rush volume #23</x:v>
      </x:c>
    </x:row>
    <x:row r="39" ht="19" customHeight="1">
      <x:c r="A39" s="13" t="n">
        <x:v>35</x:v>
      </x:c>
      <x:c r="B39" s="13" t="n">
        <x:v>134</x:v>
      </x:c>
      <x:c r="C39" s="13" t="n">
        <x:v>98</x:v>
      </x:c>
      <x:c r="D39" s="12" t="n">
        <x:v>160.9</x:v>
      </x:c>
      <x:c r="E39" s="12" t="n">
        <x:v>26.9</x:v>
      </x:c>
      <x:c r="F39" s="12" t="n">
        <x:v>62.9</x:v>
      </x:c>
      <x:c r="G39" s="11" t="str">
        <x:v>Tyrone Tracy</x:v>
      </x:c>
      <x:c r="H39" s="11" t="str">
        <x:v>NYG</x:v>
      </x:c>
      <x:c r="I39" s="13" t="n">
        <x:v>8</x:v>
      </x:c>
      <x:c r="J39" s="12" t="n">
        <x:v>171.5</x:v>
      </x:c>
      <x:c r="K39" s="12" t="n">
        <x:v>111</x:v>
      </x:c>
      <x:c r="L39" s="12" t="n">
        <x:v>60.5</x:v>
      </x:c>
      <x:c r="M39" s="12" t="n">
        <x:v>150.4</x:v>
      </x:c>
      <x:c r="N39" s="12" t="n">
        <x:v>12.6</x:v>
      </x:c>
      <x:c r="O39" s="12" t="n">
        <x:v>-20.2</x:v>
      </x:c>
      <x:c r="P39" s="11" t="str">
        <x:v>High</x:v>
      </x:c>
      <x:c r="Q39" s="13" t="n">
        <x:v>19</x:v>
      </x:c>
      <x:c r="R39" s="13" t="n">
        <x:v>10</x:v>
      </x:c>
      <x:c r="S39" s="12" t="n">
        <x:v>48.2</x:v>
      </x:c>
      <x:c r="T39" s="12"/>
      <x:c r="U39" s="12" t="n">
        <x:v>162.5</x:v>
      </x:c>
      <x:c r="V39" s="12" t="n">
        <x:v>124</x:v>
      </x:c>
      <x:c r="W39" s="12" t="n">
        <x:v>10.7</x:v>
      </x:c>
      <x:c r="X39" s="13" t="n">
        <x:v>15</x:v>
      </x:c>
      <x:c r="Y39" s="11"/>
      <x:c r="Z39" s="11" t="str">
        <x:v>Veteran model: 2025 form, prior-year trend and same team pass/run forecast; team pass volume #19, rush volume #10</x:v>
      </x:c>
    </x:row>
    <x:row r="40" ht="19" customHeight="1">
      <x:c r="A40" s="13" t="n">
        <x:v>36</x:v>
      </x:c>
      <x:c r="B40" s="13" t="n">
        <x:v>127</x:v>
      </x:c>
      <x:c r="C40" s="13" t="n">
        <x:v>181</x:v>
      </x:c>
      <x:c r="D40" s="12" t="n">
        <x:v>61.1</x:v>
      </x:c>
      <x:c r="E40" s="12" t="n">
        <x:v>-65.9</x:v>
      </x:c>
      <x:c r="F40" s="12" t="n">
        <x:v>-119.9</x:v>
      </x:c>
      <x:c r="G40" s="11" t="str">
        <x:v>Bhayshul Tuten</x:v>
      </x:c>
      <x:c r="H40" s="11" t="str">
        <x:v>JAX</x:v>
      </x:c>
      <x:c r="I40" s="13" t="n">
        <x:v>7</x:v>
      </x:c>
      <x:c r="J40" s="12" t="n">
        <x:v>124.6</x:v>
      </x:c>
      <x:c r="K40" s="12" t="n">
        <x:v>175</x:v>
      </x:c>
      <x:c r="L40" s="12" t="n">
        <x:v>-50.4</x:v>
      </x:c>
      <x:c r="M40" s="12" t="n">
        <x:v>149.8</x:v>
      </x:c>
      <x:c r="N40" s="12" t="n">
        <x:v>11</x:v>
      </x:c>
      <x:c r="O40" s="12" t="n">
        <x:v>-18</x:v>
      </x:c>
      <x:c r="P40" s="11" t="str">
        <x:v>Medium</x:v>
      </x:c>
      <x:c r="Q40" s="13" t="n">
        <x:v>11</x:v>
      </x:c>
      <x:c r="R40" s="13" t="n">
        <x:v>15</x:v>
      </x:c>
      <x:c r="S40" s="12" t="n">
        <x:v>31.2</x:v>
      </x:c>
      <x:c r="T40" s="12"/>
      <x:c r="U40" s="12" t="n">
        <x:v>124.7</x:v>
      </x:c>
      <x:c r="V40" s="12" t="n">
        <x:v>184</x:v>
      </x:c>
      <x:c r="W40" s="12" t="n">
        <x:v>5.9</x:v>
      </x:c>
      <x:c r="X40" s="13" t="n">
        <x:v>15</x:v>
      </x:c>
      <x:c r="Y40" s="11"/>
      <x:c r="Z40" s="11" t="str">
        <x:v>Veteran model: 2025 form, prior-year trend and same team pass/run forecast; team pass volume #11, rush volume #15</x:v>
      </x:c>
    </x:row>
    <x:row r="41" ht="19" customHeight="1">
      <x:c r="A41" s="13" t="n">
        <x:v>37</x:v>
      </x:c>
      <x:c r="B41" s="13" t="n">
        <x:v>132</x:v>
      </x:c>
      <x:c r="C41" s="13" t="n">
        <x:v>140</x:v>
      </x:c>
      <x:c r="D41" s="12" t="n">
        <x:v>123</x:v>
      </x:c>
      <x:c r="E41" s="12" t="n">
        <x:v>-9</x:v>
      </x:c>
      <x:c r="F41" s="12" t="n">
        <x:v>-17</x:v>
      </x:c>
      <x:c r="G41" s="11" t="str">
        <x:v>Aaron Jones</x:v>
      </x:c>
      <x:c r="H41" s="11" t="str">
        <x:v>MIN</x:v>
      </x:c>
      <x:c r="I41" s="13" t="n">
        <x:v>6</x:v>
      </x:c>
      <x:c r="J41" s="12" t="n">
        <x:v>148</x:v>
      </x:c>
      <x:c r="K41" s="12" t="n">
        <x:v>137</x:v>
      </x:c>
      <x:c r="L41" s="12" t="n">
        <x:v>11</x:v>
      </x:c>
      <x:c r="M41" s="12" t="n">
        <x:v>144.2</x:v>
      </x:c>
      <x:c r="N41" s="12" t="n">
        <x:v>10</x:v>
      </x:c>
      <x:c r="O41" s="12" t="n">
        <x:v>-19.6</x:v>
      </x:c>
      <x:c r="P41" s="11" t="str">
        <x:v>High</x:v>
      </x:c>
      <x:c r="Q41" s="13" t="n">
        <x:v>26</x:v>
      </x:c>
      <x:c r="R41" s="13" t="n">
        <x:v>27</x:v>
      </x:c>
      <x:c r="S41" s="12" t="n">
        <x:v>41.7</x:v>
      </x:c>
      <x:c r="T41" s="12"/>
      <x:c r="U41" s="12" t="n">
        <x:v>152.2</x:v>
      </x:c>
      <x:c r="V41" s="12" t="n">
        <x:v>131</x:v>
      </x:c>
      <x:c r="W41" s="12" t="n">
        <x:v>9.9</x:v>
      </x:c>
      <x:c r="X41" s="13" t="n">
        <x:v>12</x:v>
      </x:c>
      <x:c r="Y41" s="11"/>
      <x:c r="Z41" s="11" t="str">
        <x:v>Veteran model: 2025 form, prior-year trend and same team pass/run forecast; team pass volume #26, rush volume #27</x:v>
      </x:c>
    </x:row>
    <x:row r="42" ht="19" customHeight="1">
      <x:c r="A42" s="13" t="n">
        <x:v>38</x:v>
      </x:c>
      <x:c r="B42" s="13" t="n">
        <x:v>119</x:v>
      </x:c>
      <x:c r="C42" s="13" t="n">
        <x:v>180</x:v>
      </x:c>
      <x:c r="D42" s="12" t="n">
        <x:v>116.6</x:v>
      </x:c>
      <x:c r="E42" s="12" t="n">
        <x:v>-2.4</x:v>
      </x:c>
      <x:c r="F42" s="12" t="n">
        <x:v>-63.4</x:v>
      </x:c>
      <x:c r="G42" s="11" t="str">
        <x:v>Jonathon Brooks</x:v>
      </x:c>
      <x:c r="H42" s="11" t="str">
        <x:v>CAR</x:v>
      </x:c>
      <x:c r="I42" s="13" t="n">
        <x:v>5</x:v>
      </x:c>
      <x:c r="J42" s="12" t="n">
        <x:v>96.2</x:v>
      </x:c>
      <x:c r="K42" s="12" t="n">
        <x:v>155</x:v>
      </x:c>
      <x:c r="L42" s="12" t="n">
        <x:v>-58.8</x:v>
      </x:c>
      <x:c r="M42" s="12" t="n">
        <x:v>140.3</x:v>
      </x:c>
      <x:c r="N42" s="12" t="n">
        <x:v>7.2</x:v>
      </x:c>
      <x:c r="O42" s="12" t="n">
        <x:v>-15.8</x:v>
      </x:c>
      <x:c r="P42" s="11" t="str">
        <x:v>Low</x:v>
      </x:c>
      <x:c r="Q42" s="13" t="n">
        <x:v>22</x:v>
      </x:c>
      <x:c r="R42" s="13" t="n">
        <x:v>23</x:v>
      </x:c>
      <x:c r="S42" s="12" t="n">
        <x:v>28.6</x:v>
      </x:c>
      <x:c r="T42" s="12"/>
      <x:c r="U42" s="12" t="n">
        <x:v>94.5</x:v>
      </x:c>
      <x:c r="V42" s="12" t="n">
        <x:v>160</x:v>
      </x:c>
      <x:c r="W42" s="12"/>
      <x:c r="X42" s="13"/>
      <x:c r="Y42" s="11"/>
      <x:c r="Z42" s="11" t="str">
        <x:v>Veteran model: 2024 form, prior-year trend and same team pass/run forecast; team pass volume #22, rush volume #23</x:v>
      </x:c>
    </x:row>
    <x:row r="43" ht="19" customHeight="1">
      <x:c r="A43" s="13" t="n">
        <x:v>39</x:v>
      </x:c>
      <x:c r="B43" s="13" t="n">
        <x:v>149</x:v>
      </x:c>
      <x:c r="C43" s="13" t="n">
        <x:v>90</x:v>
      </x:c>
      <x:c r="D43" s="12" t="n">
        <x:v>141.7</x:v>
      </x:c>
      <x:c r="E43" s="12" t="n">
        <x:v>-7.3</x:v>
      </x:c>
      <x:c r="F43" s="12" t="n">
        <x:v>51.7</x:v>
      </x:c>
      <x:c r="G43" s="11" t="str">
        <x:v>Zach Charbonnet</x:v>
      </x:c>
      <x:c r="H43" s="11" t="str">
        <x:v>SEA</x:v>
      </x:c>
      <x:c r="I43" s="13" t="n">
        <x:v>11</x:v>
      </x:c>
      <x:c r="J43" s="12" t="n">
        <x:v>177.5</x:v>
      </x:c>
      <x:c r="K43" s="12" t="n">
        <x:v>67</x:v>
      </x:c>
      <x:c r="L43" s="12" t="n">
        <x:v>110.5</x:v>
      </x:c>
      <x:c r="M43" s="12" t="n">
        <x:v>138.8</x:v>
      </x:c>
      <x:c r="N43" s="12" t="n">
        <x:v>12.5</x:v>
      </x:c>
      <x:c r="O43" s="12" t="n">
        <x:v>-28.5</x:v>
      </x:c>
      <x:c r="P43" s="11" t="str">
        <x:v>High</x:v>
      </x:c>
      <x:c r="Q43" s="13" t="n">
        <x:v>23</x:v>
      </x:c>
      <x:c r="R43" s="13" t="n">
        <x:v>21</x:v>
      </x:c>
      <x:c r="S43" s="12" t="n">
        <x:v>40.3</x:v>
      </x:c>
      <x:c r="T43" s="12"/>
      <x:c r="U43" s="12" t="n">
        <x:v>189.5</x:v>
      </x:c>
      <x:c r="V43" s="12" t="n">
        <x:v>65</x:v>
      </x:c>
      <x:c r="W43" s="12" t="n">
        <x:v>11.3</x:v>
      </x:c>
      <x:c r="X43" s="13" t="n">
        <x:v>16</x:v>
      </x:c>
      <x:c r="Y43" s="11" t="str">
        <x:v>PUP</x:v>
      </x:c>
      <x:c r="Z43" s="11" t="str">
        <x:v>Veteran model: 2025 form, prior-year trend and same team pass/run forecast; team pass volume #23, rush volume #21</x:v>
      </x:c>
    </x:row>
    <x:row r="44" ht="19" customHeight="1">
      <x:c r="A44" s="13" t="n">
        <x:v>40</x:v>
      </x:c>
      <x:c r="B44" s="13" t="n">
        <x:v>154</x:v>
      </x:c>
      <x:c r="C44" s="13" t="n">
        <x:v>166</x:v>
      </x:c>
      <x:c r="D44" s="12" t="n">
        <x:v>128.2</x:v>
      </x:c>
      <x:c r="E44" s="12" t="n">
        <x:v>-25.8</x:v>
      </x:c>
      <x:c r="F44" s="12" t="n">
        <x:v>-37.8</x:v>
      </x:c>
      <x:c r="G44" s="11" t="str">
        <x:v>Rachaad White</x:v>
      </x:c>
      <x:c r="H44" s="11" t="str">
        <x:v>WAS</x:v>
      </x:c>
      <x:c r="I44" s="13" t="n">
        <x:v>7</x:v>
      </x:c>
      <x:c r="J44" s="12" t="n">
        <x:v>143.6</x:v>
      </x:c>
      <x:c r="K44" s="12" t="n">
        <x:v>128</x:v>
      </x:c>
      <x:c r="L44" s="12" t="n">
        <x:v>15.6</x:v>
      </x:c>
      <x:c r="M44" s="12" t="n">
        <x:v>138.1</x:v>
      </x:c>
      <x:c r="N44" s="12" t="n">
        <x:v>13.2</x:v>
      </x:c>
      <x:c r="O44" s="12" t="n">
        <x:v>-30.7</x:v>
      </x:c>
      <x:c r="P44" s="11" t="str">
        <x:v>High</x:v>
      </x:c>
      <x:c r="Q44" s="13" t="n">
        <x:v>29</x:v>
      </x:c>
      <x:c r="R44" s="13" t="n">
        <x:v>8</x:v>
      </x:c>
      <x:c r="S44" s="12" t="n">
        <x:v>41.3</x:v>
      </x:c>
      <x:c r="T44" s="12"/>
      <x:c r="U44" s="12" t="n">
        <x:v>132.1</x:v>
      </x:c>
      <x:c r="V44" s="12" t="n">
        <x:v>114</x:v>
      </x:c>
      <x:c r="W44" s="12" t="n">
        <x:v>8.4</x:v>
      </x:c>
      <x:c r="X44" s="13" t="n">
        <x:v>17</x:v>
      </x:c>
      <x:c r="Y44" s="11" t="str">
        <x:v>Ques</x:v>
      </x:c>
      <x:c r="Z44" s="11" t="str">
        <x:v>Veteran model: 2025 form, prior-year trend and new team pass/run forecast; team pass volume #29, rush volume #8</x:v>
      </x:c>
    </x:row>
    <x:row r="45" ht="19" customHeight="1">
      <x:c r="A45" s="13" t="n">
        <x:v>41</x:v>
      </x:c>
      <x:c r="B45" s="13" t="n">
        <x:v>144</x:v>
      </x:c>
      <x:c r="C45" s="13" t="n">
        <x:v>141</x:v>
      </x:c>
      <x:c r="D45" s="12" t="n">
        <x:v>167</x:v>
      </x:c>
      <x:c r="E45" s="12" t="n">
        <x:v>23</x:v>
      </x:c>
      <x:c r="F45" s="12" t="n">
        <x:v>26</x:v>
      </x:c>
      <x:c r="G45" s="11" t="str">
        <x:v>Tyjae Spears</x:v>
      </x:c>
      <x:c r="H45" s="11" t="str">
        <x:v>TEN</x:v>
      </x:c>
      <x:c r="I45" s="13" t="n">
        <x:v>9</x:v>
      </x:c>
      <x:c r="J45" s="12" t="n">
        <x:v>150.5</x:v>
      </x:c>
      <x:c r="K45" s="12" t="n">
        <x:v>115</x:v>
      </x:c>
      <x:c r="L45" s="12" t="n">
        <x:v>35.5</x:v>
      </x:c>
      <x:c r="M45" s="12" t="n">
        <x:v>138.1</x:v>
      </x:c>
      <x:c r="N45" s="12" t="n">
        <x:v>11.1</x:v>
      </x:c>
      <x:c r="O45" s="12" t="n">
        <x:v>-25.8</x:v>
      </x:c>
      <x:c r="P45" s="11" t="str">
        <x:v>High</x:v>
      </x:c>
      <x:c r="Q45" s="13" t="n">
        <x:v>18</x:v>
      </x:c>
      <x:c r="R45" s="13" t="n">
        <x:v>30</x:v>
      </x:c>
      <x:c r="S45" s="12" t="n">
        <x:v>53.2</x:v>
      </x:c>
      <x:c r="T45" s="12"/>
      <x:c r="U45" s="12" t="n">
        <x:v>116.5</x:v>
      </x:c>
      <x:c r="V45" s="12" t="n">
        <x:v>92</x:v>
      </x:c>
      <x:c r="W45" s="12" t="n">
        <x:v>8.6</x:v>
      </x:c>
      <x:c r="X45" s="13" t="n">
        <x:v>13</x:v>
      </x:c>
      <x:c r="Y45" s="11"/>
      <x:c r="Z45" s="11" t="str">
        <x:v>Veteran model: 2025 form, prior-year trend and same team pass/run forecast; team pass volume #18, rush volume #30</x:v>
      </x:c>
    </x:row>
    <x:row r="46" ht="19" customHeight="1">
      <x:c r="A46" s="13" t="n">
        <x:v>42</x:v>
      </x:c>
      <x:c r="B46" s="13" t="n">
        <x:v>152</x:v>
      </x:c>
      <x:c r="C46" s="13" t="n">
        <x:v>161</x:v>
      </x:c>
      <x:c r="D46" s="12" t="n">
        <x:v>111.9</x:v>
      </x:c>
      <x:c r="E46" s="12" t="n">
        <x:v>-40.1</x:v>
      </x:c>
      <x:c r="F46" s="12" t="n">
        <x:v>-49.1</x:v>
      </x:c>
      <x:c r="G46" s="11" t="str">
        <x:v>Jacory Croskey-Merritt</x:v>
      </x:c>
      <x:c r="H46" s="11" t="str">
        <x:v>WAS</x:v>
      </x:c>
      <x:c r="I46" s="13" t="n">
        <x:v>7</x:v>
      </x:c>
      <x:c r="J46" s="12" t="n">
        <x:v>142.5</x:v>
      </x:c>
      <x:c r="K46" s="12" t="n">
        <x:v>128</x:v>
      </x:c>
      <x:c r="L46" s="12" t="n">
        <x:v>14.5</x:v>
      </x:c>
      <x:c r="M46" s="12" t="n">
        <x:v>135.2</x:v>
      </x:c>
      <x:c r="N46" s="12" t="n">
        <x:v>12.2</x:v>
      </x:c>
      <x:c r="O46" s="12" t="n">
        <x:v>-30.4</x:v>
      </x:c>
      <x:c r="P46" s="11" t="str">
        <x:v>Medium</x:v>
      </x:c>
      <x:c r="Q46" s="13" t="n">
        <x:v>29</x:v>
      </x:c>
      <x:c r="R46" s="13" t="n">
        <x:v>8</x:v>
      </x:c>
      <x:c r="S46" s="12" t="n">
        <x:v>27.1</x:v>
      </x:c>
      <x:c r="T46" s="12"/>
      <x:c r="U46" s="12" t="n">
        <x:v>165.5</x:v>
      </x:c>
      <x:c r="V46" s="12" t="n">
        <x:v>141</x:v>
      </x:c>
      <x:c r="W46" s="12" t="n">
        <x:v>8.3</x:v>
      </x:c>
      <x:c r="X46" s="13" t="n">
        <x:v>17</x:v>
      </x:c>
      <x:c r="Y46" s="11"/>
      <x:c r="Z46" s="11" t="str">
        <x:v>Veteran model: 2025 form, prior-year trend and same team pass/run forecast; team pass volume #29, rush volume #8</x:v>
      </x:c>
    </x:row>
    <x:row r="47" ht="19" customHeight="1">
      <x:c r="A47" s="13" t="n">
        <x:v>43</x:v>
      </x:c>
      <x:c r="B47" s="13" t="n">
        <x:v>157</x:v>
      </x:c>
      <x:c r="C47" s="13" t="n">
        <x:v>182</x:v>
      </x:c>
      <x:c r="D47" s="12" t="n">
        <x:v>103.5</x:v>
      </x:c>
      <x:c r="E47" s="12" t="n">
        <x:v>-53.5</x:v>
      </x:c>
      <x:c r="F47" s="12" t="n">
        <x:v>-78.5</x:v>
      </x:c>
      <x:c r="G47" s="11" t="str">
        <x:v>Blake Corum</x:v>
      </x:c>
      <x:c r="H47" s="11" t="str">
        <x:v>LAR</x:v>
      </x:c>
      <x:c r="I47" s="13" t="n">
        <x:v>11</x:v>
      </x:c>
      <x:c r="J47" s="12" t="n">
        <x:v>130.9</x:v>
      </x:c>
      <x:c r="K47" s="12" t="n">
        <x:v>135</x:v>
      </x:c>
      <x:c r="L47" s="12" t="n">
        <x:v>-4.1</x:v>
      </x:c>
      <x:c r="M47" s="12" t="n">
        <x:v>132.3</x:v>
      </x:c>
      <x:c r="N47" s="12" t="n">
        <x:v>12.4</x:v>
      </x:c>
      <x:c r="O47" s="12" t="n">
        <x:v>-33</x:v>
      </x:c>
      <x:c r="P47" s="11" t="str">
        <x:v>High</x:v>
      </x:c>
      <x:c r="Q47" s="13" t="n">
        <x:v>7</x:v>
      </x:c>
      <x:c r="R47" s="13" t="n">
        <x:v>14</x:v>
      </x:c>
      <x:c r="S47" s="12" t="n">
        <x:v>26</x:v>
      </x:c>
      <x:c r="T47" s="12"/>
      <x:c r="U47" s="12" t="n">
        <x:v>146.8</x:v>
      </x:c>
      <x:c r="V47" s="12" t="n">
        <x:v>172</x:v>
      </x:c>
      <x:c r="W47" s="12" t="n">
        <x:v>7.2</x:v>
      </x:c>
      <x:c r="X47" s="13" t="n">
        <x:v>17</x:v>
      </x:c>
      <x:c r="Y47" s="11"/>
      <x:c r="Z47" s="11" t="str">
        <x:v>Veteran model: 2025 form, prior-year trend and same team pass/run forecast; team pass volume #7, rush volume #14</x:v>
      </x:c>
    </x:row>
    <x:row r="48" ht="19" customHeight="1">
      <x:c r="A48" s="13" t="n">
        <x:v>44</x:v>
      </x:c>
      <x:c r="B48" s="13" t="n">
        <x:v>151</x:v>
      </x:c>
      <x:c r="C48" s="13" t="n">
        <x:v>191</x:v>
      </x:c>
      <x:c r="D48" s="12" t="n">
        <x:v>118.7</x:v>
      </x:c>
      <x:c r="E48" s="12" t="n">
        <x:v>-32.3</x:v>
      </x:c>
      <x:c r="F48" s="12" t="n">
        <x:v>-72.3</x:v>
      </x:c>
      <x:c r="G48" s="11" t="str">
        <x:v>Jordan Mason</x:v>
      </x:c>
      <x:c r="H48" s="11" t="str">
        <x:v>MIN</x:v>
      </x:c>
      <x:c r="I48" s="13" t="n">
        <x:v>6</x:v>
      </x:c>
      <x:c r="J48" s="12" t="n">
        <x:v>120.5</x:v>
      </x:c>
      <x:c r="K48" s="12" t="n">
        <x:v>154</x:v>
      </x:c>
      <x:c r="L48" s="12" t="n">
        <x:v>-33.5</x:v>
      </x:c>
      <x:c r="M48" s="12" t="n">
        <x:v>132.2</x:v>
      </x:c>
      <x:c r="N48" s="12" t="n">
        <x:v>11</x:v>
      </x:c>
      <x:c r="O48" s="12" t="n">
        <x:v>-29.4</x:v>
      </x:c>
      <x:c r="P48" s="11" t="str">
        <x:v>High</x:v>
      </x:c>
      <x:c r="Q48" s="13" t="n">
        <x:v>26</x:v>
      </x:c>
      <x:c r="R48" s="13" t="n">
        <x:v>27</x:v>
      </x:c>
      <x:c r="S48" s="12" t="n">
        <x:v>20.3</x:v>
      </x:c>
      <x:c r="T48" s="12"/>
      <x:c r="U48" s="12" t="n">
        <x:v>151.2</x:v>
      </x:c>
      <x:c r="V48" s="12" t="n">
        <x:v>190</x:v>
      </x:c>
      <x:c r="W48" s="12" t="n">
        <x:v>8.1</x:v>
      </x:c>
      <x:c r="X48" s="13" t="n">
        <x:v>16</x:v>
      </x:c>
      <x:c r="Y48" s="11"/>
      <x:c r="Z48" s="11" t="str">
        <x:v>Veteran model: 2025 form, prior-year trend and same team pass/run forecast; team pass volume #26, rush volume #27</x:v>
      </x:c>
    </x:row>
    <x:row r="49" ht="19" customHeight="1">
      <x:c r="A49" s="13" t="n">
        <x:v>45</x:v>
      </x:c>
      <x:c r="B49" s="13" t="n">
        <x:v>163</x:v>
      </x:c>
      <x:c r="C49" s="13" t="n">
        <x:v>114</x:v>
      </x:c>
      <x:c r="D49" s="12" t="n">
        <x:v>166.4</x:v>
      </x:c>
      <x:c r="E49" s="12" t="n">
        <x:v>3.4</x:v>
      </x:c>
      <x:c r="F49" s="12" t="n">
        <x:v>52.4</x:v>
      </x:c>
      <x:c r="G49" s="11" t="str">
        <x:v>Woody Marks</x:v>
      </x:c>
      <x:c r="H49" s="11" t="str">
        <x:v>HOU</x:v>
      </x:c>
      <x:c r="I49" s="13" t="n">
        <x:v>8</x:v>
      </x:c>
      <x:c r="J49" s="12" t="n">
        <x:v>163.3</x:v>
      </x:c>
      <x:c r="K49" s="12" t="n">
        <x:v>84</x:v>
      </x:c>
      <x:c r="L49" s="12" t="n">
        <x:v>79.3</x:v>
      </x:c>
      <x:c r="M49" s="12" t="n">
        <x:v>123.7</x:v>
      </x:c>
      <x:c r="N49" s="12" t="n">
        <x:v>11.8</x:v>
      </x:c>
      <x:c r="O49" s="12" t="n">
        <x:v>-37.4</x:v>
      </x:c>
      <x:c r="P49" s="11" t="str">
        <x:v>Medium</x:v>
      </x:c>
      <x:c r="Q49" s="13" t="n">
        <x:v>9</x:v>
      </x:c>
      <x:c r="R49" s="13" t="n">
        <x:v>17</x:v>
      </x:c>
      <x:c r="S49" s="12" t="n">
        <x:v>43</x:v>
      </x:c>
      <x:c r="T49" s="12"/>
      <x:c r="U49" s="12" t="n">
        <x:v>170.5</x:v>
      </x:c>
      <x:c r="V49" s="12" t="n">
        <x:v>86</x:v>
      </x:c>
      <x:c r="W49" s="12" t="n">
        <x:v>9.4</x:v>
      </x:c>
      <x:c r="X49" s="13" t="n">
        <x:v>16</x:v>
      </x:c>
      <x:c r="Y49" s="11"/>
      <x:c r="Z49" s="11" t="str">
        <x:v>Veteran model: 2025 form, prior-year trend and same team pass/run forecast; team pass volume #9, rush volume #17</x:v>
      </x:c>
    </x:row>
    <x:row r="50" ht="19" customHeight="1">
      <x:c r="A50" s="13" t="n">
        <x:v>46</x:v>
      </x:c>
      <x:c r="B50" s="13" t="n">
        <x:v>174</x:v>
      </x:c>
      <x:c r="C50" s="13" t="n">
        <x:v>167</x:v>
      </x:c>
      <x:c r="D50" s="12" t="n">
        <x:v>188.7</x:v>
      </x:c>
      <x:c r="E50" s="12" t="n">
        <x:v>14.7</x:v>
      </x:c>
      <x:c r="F50" s="12" t="n">
        <x:v>21.7</x:v>
      </x:c>
      <x:c r="G50" s="11" t="str">
        <x:v>Dylan Sampson</x:v>
      </x:c>
      <x:c r="H50" s="11" t="str">
        <x:v>CLE</x:v>
      </x:c>
      <x:c r="I50" s="13" t="n">
        <x:v>11</x:v>
      </x:c>
      <x:c r="J50" s="12" t="n">
        <x:v>135.6</x:v>
      </x:c>
      <x:c r="K50" s="12" t="n">
        <x:v>89</x:v>
      </x:c>
      <x:c r="L50" s="12" t="n">
        <x:v>46.6</x:v>
      </x:c>
      <x:c r="M50" s="12" t="n">
        <x:v>112.3</x:v>
      </x:c>
      <x:c r="N50" s="12" t="n">
        <x:v>10.9</x:v>
      </x:c>
      <x:c r="O50" s="12" t="n">
        <x:v>-41.9</x:v>
      </x:c>
      <x:c r="P50" s="11" t="str">
        <x:v>Medium</x:v>
      </x:c>
      <x:c r="Q50" s="13" t="n">
        <x:v>4</x:v>
      </x:c>
      <x:c r="R50" s="13" t="n">
        <x:v>26</x:v>
      </x:c>
      <x:c r="S50" s="12" t="n">
        <x:v>46.6</x:v>
      </x:c>
      <x:c r="T50" s="12"/>
      <x:c r="U50" s="12" t="n">
        <x:v>105.5</x:v>
      </x:c>
      <x:c r="V50" s="12" t="n">
        <x:v>78</x:v>
      </x:c>
      <x:c r="W50" s="12" t="n">
        <x:v>5.8</x:v>
      </x:c>
      <x:c r="X50" s="13" t="n">
        <x:v>15</x:v>
      </x:c>
      <x:c r="Y50" s="11"/>
      <x:c r="Z50" s="11" t="str">
        <x:v>Veteran model: 2025 form, prior-year trend and same team pass/run forecast; team pass volume #4, rush volume #26</x:v>
      </x:c>
    </x:row>
    <x:row r="51" ht="19" customHeight="1">
      <x:c r="A51" s="13" t="n">
        <x:v>47</x:v>
      </x:c>
      <x:c r="B51" s="13" t="n">
        <x:v>175</x:v>
      </x:c>
      <x:c r="C51" s="13" t="n">
        <x:v>160</x:v>
      </x:c>
      <x:c r="D51" s="12" t="n">
        <x:v>241.3</x:v>
      </x:c>
      <x:c r="E51" s="12" t="n">
        <x:v>66.3</x:v>
      </x:c>
      <x:c r="F51" s="12" t="n">
        <x:v>81.3</x:v>
      </x:c>
      <x:c r="G51" s="11" t="str">
        <x:v>Kimani Vidal</x:v>
      </x:c>
      <x:c r="H51" s="11" t="str">
        <x:v>LAC</x:v>
      </x:c>
      <x:c r="I51" s="13" t="n">
        <x:v>7</x:v>
      </x:c>
      <x:c r="J51" s="12" t="n">
        <x:v>140.2</x:v>
      </x:c>
      <x:c r="K51" s="12" t="n">
        <x:v>60</x:v>
      </x:c>
      <x:c r="L51" s="12" t="n">
        <x:v>80.2</x:v>
      </x:c>
      <x:c r="M51" s="12" t="n">
        <x:v>112.1</x:v>
      </x:c>
      <x:c r="N51" s="12" t="n">
        <x:v>11.1</x:v>
      </x:c>
      <x:c r="O51" s="12" t="n">
        <x:v>-42.8</x:v>
      </x:c>
      <x:c r="P51" s="11" t="str">
        <x:v>High</x:v>
      </x:c>
      <x:c r="Q51" s="13" t="n">
        <x:v>14</x:v>
      </x:c>
      <x:c r="R51" s="13" t="n">
        <x:v>16</x:v>
      </x:c>
      <x:c r="S51" s="12" t="n">
        <x:v>32.3</x:v>
      </x:c>
      <x:c r="T51" s="12"/>
      <x:c r="U51" s="12" t="n">
        <x:v>157.4</x:v>
      </x:c>
      <x:c r="V51" s="12" t="n">
        <x:v>60</x:v>
      </x:c>
      <x:c r="W51" s="12" t="n">
        <x:v>9.1</x:v>
      </x:c>
      <x:c r="X51" s="13" t="n">
        <x:v>13</x:v>
      </x:c>
      <x:c r="Y51" s="11"/>
      <x:c r="Z51" s="11" t="str">
        <x:v>Veteran model: 2025 form, prior-year trend and same team pass/run forecast; team pass volume #14, rush volume #16</x:v>
      </x:c>
    </x:row>
    <x:row r="52" ht="19" customHeight="1">
      <x:c r="A52" s="13" t="n">
        <x:v>48</x:v>
      </x:c>
      <x:c r="B52" s="13" t="n">
        <x:v>176</x:v>
      </x:c>
      <x:c r="C52" s="13" t="n">
        <x:v>224</x:v>
      </x:c>
      <x:c r="D52" s="12" t="n">
        <x:v>144.6</x:v>
      </x:c>
      <x:c r="E52" s="12" t="n">
        <x:v>-31.4</x:v>
      </x:c>
      <x:c r="F52" s="12" t="n">
        <x:v>-79.4</x:v>
      </x:c>
      <x:c r="G52" s="11" t="str">
        <x:v>Chris Rodriguez</x:v>
      </x:c>
      <x:c r="H52" s="11" t="str">
        <x:v>JAX</x:v>
      </x:c>
      <x:c r="I52" s="13" t="n">
        <x:v>7</x:v>
      </x:c>
      <x:c r="J52" s="12" t="n">
        <x:v>98.4</x:v>
      </x:c>
      <x:c r="K52" s="12" t="n">
        <x:v>133</x:v>
      </x:c>
      <x:c r="L52" s="12" t="n">
        <x:v>-34.6</x:v>
      </x:c>
      <x:c r="M52" s="12" t="n">
        <x:v>110.5</x:v>
      </x:c>
      <x:c r="N52" s="12" t="n">
        <x:v>11</x:v>
      </x:c>
      <x:c r="O52" s="12" t="n">
        <x:v>-43.4</x:v>
      </x:c>
      <x:c r="P52" s="11" t="str">
        <x:v>High</x:v>
      </x:c>
      <x:c r="Q52" s="13" t="n">
        <x:v>11</x:v>
      </x:c>
      <x:c r="R52" s="13" t="n">
        <x:v>15</x:v>
      </x:c>
      <x:c r="S52" s="12" t="n">
        <x:v>14.9</x:v>
      </x:c>
      <x:c r="T52" s="12"/>
      <x:c r="U52" s="12" t="n">
        <x:v>131.9</x:v>
      </x:c>
      <x:c r="V52" s="12" t="n">
        <x:v>171</x:v>
      </x:c>
      <x:c r="W52" s="12" t="n">
        <x:v>7.1</x:v>
      </x:c>
      <x:c r="X52" s="13" t="n">
        <x:v>13</x:v>
      </x:c>
      <x:c r="Y52" s="11"/>
      <x:c r="Z52" s="11" t="str">
        <x:v>Veteran model: 2025 form, prior-year trend and new team pass/run forecast; team pass volume #11, rush volume #15</x:v>
      </x:c>
    </x:row>
    <x:row r="53" ht="19" customHeight="1">
      <x:c r="A53" s="13" t="n">
        <x:v>49</x:v>
      </x:c>
      <x:c r="B53" s="13" t="n">
        <x:v>167</x:v>
      </x:c>
      <x:c r="C53" s="13" t="n">
        <x:v>125</x:v>
      </x:c>
      <x:c r="D53" s="12" t="n">
        <x:v>160.2</x:v>
      </x:c>
      <x:c r="E53" s="12" t="n">
        <x:v>-6.8</x:v>
      </x:c>
      <x:c r="F53" s="12" t="n">
        <x:v>35.2</x:v>
      </x:c>
      <x:c r="G53" s="11" t="str">
        <x:v>Alvin Kamara</x:v>
      </x:c>
      <x:c r="H53" s="11" t="str">
        <x:v>NO</x:v>
      </x:c>
      <x:c r="I53" s="13" t="n">
        <x:v>8</x:v>
      </x:c>
      <x:c r="J53" s="12" t="n">
        <x:v>154</x:v>
      </x:c>
      <x:c r="K53" s="12" t="n">
        <x:v>63</x:v>
      </x:c>
      <x:c r="L53" s="12" t="n">
        <x:v>91</x:v>
      </x:c>
      <x:c r="M53" s="12" t="n">
        <x:v>108.5</x:v>
      </x:c>
      <x:c r="N53" s="12" t="n">
        <x:v>9.4</x:v>
      </x:c>
      <x:c r="O53" s="12" t="n">
        <x:v>-38.2</x:v>
      </x:c>
      <x:c r="P53" s="11" t="str">
        <x:v>Medium</x:v>
      </x:c>
      <x:c r="Q53" s="13" t="n">
        <x:v>8</x:v>
      </x:c>
      <x:c r="R53" s="13" t="n">
        <x:v>22</x:v>
      </x:c>
      <x:c r="S53" s="12" t="n">
        <x:v>47.1</x:v>
      </x:c>
      <x:c r="T53" s="12"/>
      <x:c r="U53" s="12" t="n">
        <x:v>153.3</x:v>
      </x:c>
      <x:c r="V53" s="12" t="n">
        <x:v>45</x:v>
      </x:c>
      <x:c r="W53" s="12" t="n">
        <x:v>9.2</x:v>
      </x:c>
      <x:c r="X53" s="13" t="n">
        <x:v>11</x:v>
      </x:c>
      <x:c r="Y53" s="11" t="str">
        <x:v>Ques</x:v>
      </x:c>
      <x:c r="Z53" s="11" t="str">
        <x:v>Veteran model: 2025 form, prior-year trend and same team pass/run forecast; team pass volume #8, rush volume #22</x:v>
      </x:c>
    </x:row>
    <x:row r="54" ht="19" customHeight="1">
      <x:c r="A54" s="13" t="n">
        <x:v>50</x:v>
      </x:c>
      <x:c r="B54" s="13" t="n">
        <x:v>216</x:v>
      </x:c>
      <x:c r="C54" s="13" t="n">
        <x:v>228</x:v>
      </x:c>
      <x:c r="D54" s="12" t="n">
        <x:v>146.1</x:v>
      </x:c>
      <x:c r="E54" s="12" t="n">
        <x:v>-69.9</x:v>
      </x:c>
      <x:c r="F54" s="12" t="n">
        <x:v>-81.9</x:v>
      </x:c>
      <x:c r="G54" s="11" t="str">
        <x:v>Tyler Allgeier</x:v>
      </x:c>
      <x:c r="H54" s="11" t="str">
        <x:v>ARI</x:v>
      </x:c>
      <x:c r="I54" s="13" t="n">
        <x:v>14</x:v>
      </x:c>
      <x:c r="J54" s="12" t="n">
        <x:v>102.7</x:v>
      </x:c>
      <x:c r="K54" s="12" t="n">
        <x:v>69</x:v>
      </x:c>
      <x:c r="L54" s="12" t="n">
        <x:v>33.7</x:v>
      </x:c>
      <x:c r="M54" s="12" t="n">
        <x:v>90.9</x:v>
      </x:c>
      <x:c r="N54" s="12" t="n">
        <x:v>11.9</x:v>
      </x:c>
      <x:c r="O54" s="12" t="n">
        <x:v>-60.7</x:v>
      </x:c>
      <x:c r="P54" s="11" t="str">
        <x:v>High</x:v>
      </x:c>
      <x:c r="Q54" s="13" t="n">
        <x:v>3</x:v>
      </x:c>
      <x:c r="R54" s="13" t="n">
        <x:v>29</x:v>
      </x:c>
      <x:c r="S54" s="12" t="n">
        <x:v>19.9</x:v>
      </x:c>
      <x:c r="T54" s="12"/>
      <x:c r="U54" s="12" t="n">
        <x:v>127.2</x:v>
      </x:c>
      <x:c r="V54" s="12" t="n">
        <x:v>95</x:v>
      </x:c>
      <x:c r="W54" s="12" t="n">
        <x:v>7.2</x:v>
      </x:c>
      <x:c r="X54" s="13" t="n">
        <x:v>17</x:v>
      </x:c>
      <x:c r="Y54" s="11"/>
      <x:c r="Z54" s="11" t="str">
        <x:v>Veteran model: 2025 form, prior-year trend and new team pass/run forecast; team pass volume #3, rush volume #29</x:v>
      </x:c>
    </x:row>
    <x:row r="55" ht="19" customHeight="1">
      <x:c r="A55" s="13" t="n">
        <x:v>51</x:v>
      </x:c>
      <x:c r="B55" s="13" t="n">
        <x:v>213</x:v>
      </x:c>
      <x:c r="C55" s="13" t="n">
        <x:v>225</x:v>
      </x:c>
      <x:c r="D55" s="12" t="n">
        <x:v>181.2</x:v>
      </x:c>
      <x:c r="E55" s="12" t="n">
        <x:v>-31.8</x:v>
      </x:c>
      <x:c r="F55" s="12" t="n">
        <x:v>-43.8</x:v>
      </x:c>
      <x:c r="G55" s="11" t="str">
        <x:v>Tank Bigsby</x:v>
      </x:c>
      <x:c r="H55" s="11" t="str">
        <x:v>PHI</x:v>
      </x:c>
      <x:c r="I55" s="13" t="n">
        <x:v>10</x:v>
      </x:c>
      <x:c r="J55" s="12" t="n">
        <x:v>102.7</x:v>
      </x:c>
      <x:c r="K55" s="12" t="n">
        <x:v>65</x:v>
      </x:c>
      <x:c r="L55" s="12" t="n">
        <x:v>37.7</x:v>
      </x:c>
      <x:c r="M55" s="12" t="n">
        <x:v>89.5</x:v>
      </x:c>
      <x:c r="N55" s="12" t="n">
        <x:v>11.6</x:v>
      </x:c>
      <x:c r="O55" s="12" t="n">
        <x:v>-60.1</x:v>
      </x:c>
      <x:c r="P55" s="11" t="str">
        <x:v>High</x:v>
      </x:c>
      <x:c r="Q55" s="13" t="n">
        <x:v>31</x:v>
      </x:c>
      <x:c r="R55" s="13" t="n">
        <x:v>2</x:v>
      </x:c>
      <x:c r="S55" s="12" t="n">
        <x:v>18.7</x:v>
      </x:c>
      <x:c r="T55" s="12"/>
      <x:c r="U55" s="12" t="n">
        <x:v>112.6</x:v>
      </x:c>
      <x:c r="V55" s="12" t="n">
        <x:v>82</x:v>
      </x:c>
      <x:c r="W55" s="12" t="n">
        <x:v>3.4</x:v>
      </x:c>
      <x:c r="X55" s="13" t="n">
        <x:v>16</x:v>
      </x:c>
      <x:c r="Y55" s="11"/>
      <x:c r="Z55" s="11" t="str">
        <x:v>Veteran model: 2025 form, prior-year trend and same team pass/run forecast; team pass volume #31, rush volume #2</x:v>
      </x:c>
    </x:row>
    <x:row r="56" ht="19" customHeight="1">
      <x:c r="A56" s="13" t="n">
        <x:v>52</x:v>
      </x:c>
      <x:c r="B56" s="13" t="n">
        <x:v>211</x:v>
      </x:c>
      <x:c r="C56" s="13" t="n">
        <x:v>219</x:v>
      </x:c>
      <x:c r="D56" s="12" t="n">
        <x:v>186.6</x:v>
      </x:c>
      <x:c r="E56" s="12" t="n">
        <x:v>-24.4</x:v>
      </x:c>
      <x:c r="F56" s="12" t="n">
        <x:v>-32.4</x:v>
      </x:c>
      <x:c r="G56" s="11" t="str">
        <x:v>Isiah Pacheco</x:v>
      </x:c>
      <x:c r="H56" s="11" t="str">
        <x:v>DET</x:v>
      </x:c>
      <x:c r="I56" s="13" t="n">
        <x:v>6</x:v>
      </x:c>
      <x:c r="J56" s="12" t="n">
        <x:v>104.2</x:v>
      </x:c>
      <x:c r="K56" s="12" t="n">
        <x:v>54</x:v>
      </x:c>
      <x:c r="L56" s="12" t="n">
        <x:v>50.2</x:v>
      </x:c>
      <x:c r="M56" s="12" t="n">
        <x:v>86.6</x:v>
      </x:c>
      <x:c r="N56" s="12" t="n">
        <x:v>11.1</x:v>
      </x:c>
      <x:c r="O56" s="12" t="n">
        <x:v>-59.4</x:v>
      </x:c>
      <x:c r="P56" s="11" t="str">
        <x:v>High</x:v>
      </x:c>
      <x:c r="Q56" s="13" t="n">
        <x:v>10</x:v>
      </x:c>
      <x:c r="R56" s="13" t="n">
        <x:v>7</x:v>
      </x:c>
      <x:c r="S56" s="12" t="n">
        <x:v>24.7</x:v>
      </x:c>
      <x:c r="T56" s="12"/>
      <x:c r="U56" s="12" t="n">
        <x:v>112.3</x:v>
      </x:c>
      <x:c r="V56" s="12" t="n">
        <x:v>67</x:v>
      </x:c>
      <x:c r="W56" s="12" t="n">
        <x:v>6.7</x:v>
      </x:c>
      <x:c r="X56" s="13" t="n">
        <x:v>13</x:v>
      </x:c>
      <x:c r="Y56" s="11" t="str">
        <x:v>Ques</x:v>
      </x:c>
      <x:c r="Z56" s="11" t="str">
        <x:v>Veteran model: 2025 form, prior-year trend and new team pass/run forecast; team pass volume #10, rush volume #7</x:v>
      </x:c>
    </x:row>
    <x:row r="57" ht="19" customHeight="1">
      <x:c r="A57" s="13" t="n">
        <x:v>53</x:v>
      </x:c>
      <x:c r="B57" s="13" t="n">
        <x:v>182</x:v>
      </x:c>
      <x:c r="C57" s="13" t="n">
        <x:v>120</x:v>
      </x:c>
      <x:c r="D57" s="12" t="n">
        <x:v>202.1</x:v>
      </x:c>
      <x:c r="E57" s="12" t="n">
        <x:v>20.1</x:v>
      </x:c>
      <x:c r="F57" s="12" t="n">
        <x:v>82.1</x:v>
      </x:c>
      <x:c r="G57" s="11" t="str">
        <x:v>Mike Washington</x:v>
      </x:c>
      <x:c r="H57" s="11" t="str">
        <x:v>LV</x:v>
      </x:c>
      <x:c r="I57" s="13" t="n">
        <x:v>13</x:v>
      </x:c>
      <x:c r="J57" s="12" t="n">
        <x:v>153.3</x:v>
      </x:c>
      <x:c r="K57" s="12" t="n">
        <x:v>62</x:v>
      </x:c>
      <x:c r="L57" s="12" t="n">
        <x:v>91.3</x:v>
      </x:c>
      <x:c r="M57" s="12" t="n">
        <x:v>84.8</x:v>
      </x:c>
      <x:c r="N57" s="12" t="n">
        <x:v>8.4</x:v>
      </x:c>
      <x:c r="O57" s="12" t="n">
        <x:v>-45.9</x:v>
      </x:c>
      <x:c r="P57" s="11" t="str">
        <x:v>Low</x:v>
      </x:c>
      <x:c r="Q57" s="13" t="n">
        <x:v>15</x:v>
      </x:c>
      <x:c r="R57" s="13" t="n">
        <x:v>32</x:v>
      </x:c>
      <x:c r="S57" s="12" t="n">
        <x:v>0</x:v>
      </x:c>
      <x:c r="T57" s="12"/>
      <x:c r="U57" s="12" t="n">
        <x:v>0</x:v>
      </x:c>
      <x:c r="V57" s="12" t="n">
        <x:v>66</x:v>
      </x:c>
      <x:c r="W57" s="12"/>
      <x:c r="X57" s="13"/>
      <x:c r="Y57" s="11"/>
      <x:c r="Z57" s="11" t="str">
        <x:v>Rookie model: pick 122, age and destination-team environment; team pass volume #15, rush volume #32</x:v>
      </x:c>
    </x:row>
    <x:row r="58" ht="19" customHeight="1">
      <x:c r="A58" s="13" t="n">
        <x:v>54</x:v>
      </x:c>
      <x:c r="B58" s="13" t="n">
        <x:v>223</x:v>
      </x:c>
      <x:c r="C58" s="13" t="n">
        <x:v>232</x:v>
      </x:c>
      <x:c r="D58" s="12" t="n">
        <x:v>150.1</x:v>
      </x:c>
      <x:c r="E58" s="12" t="n">
        <x:v>-72.9</x:v>
      </x:c>
      <x:c r="F58" s="12" t="n">
        <x:v>-81.9</x:v>
      </x:c>
      <x:c r="G58" s="11" t="str">
        <x:v>Brian Robinson</x:v>
      </x:c>
      <x:c r="H58" s="11" t="str">
        <x:v>ATL</x:v>
      </x:c>
      <x:c r="I58" s="13" t="n">
        <x:v>11</x:v>
      </x:c>
      <x:c r="J58" s="12" t="n">
        <x:v>91.4</x:v>
      </x:c>
      <x:c r="K58" s="12" t="n">
        <x:v>70</x:v>
      </x:c>
      <x:c r="L58" s="12" t="n">
        <x:v>21.4</x:v>
      </x:c>
      <x:c r="M58" s="12" t="n">
        <x:v>83.9</x:v>
      </x:c>
      <x:c r="N58" s="12" t="n">
        <x:v>11.7</x:v>
      </x:c>
      <x:c r="O58" s="12" t="n">
        <x:v>-64.5</x:v>
      </x:c>
      <x:c r="P58" s="11" t="str">
        <x:v>High</x:v>
      </x:c>
      <x:c r="Q58" s="13" t="n">
        <x:v>17</x:v>
      </x:c>
      <x:c r="R58" s="13" t="n">
        <x:v>5</x:v>
      </x:c>
      <x:c r="S58" s="12" t="n">
        <x:v>19.5</x:v>
      </x:c>
      <x:c r="T58" s="12"/>
      <x:c r="U58" s="12" t="n">
        <x:v>108.6</x:v>
      </x:c>
      <x:c r="V58" s="12" t="n">
        <x:v>87</x:v>
      </x:c>
      <x:c r="W58" s="12" t="n">
        <x:v>3.7</x:v>
      </x:c>
      <x:c r="X58" s="13" t="n">
        <x:v>17</x:v>
      </x:c>
      <x:c r="Y58" s="11"/>
      <x:c r="Z58" s="11" t="str">
        <x:v>Veteran model: 2025 form, prior-year trend and new team pass/run forecast; team pass volume #17, rush volume #5</x:v>
      </x:c>
    </x:row>
    <x:row r="59" ht="19" customHeight="1">
      <x:c r="A59" s="13" t="n">
        <x:v>55</x:v>
      </x:c>
      <x:c r="B59" s="13" t="n">
        <x:v>205</x:v>
      </x:c>
      <x:c r="C59" s="13" t="n">
        <x:v>150</x:v>
      </x:c>
      <x:c r="D59" s="12" t="n">
        <x:v>167.3</x:v>
      </x:c>
      <x:c r="E59" s="12" t="n">
        <x:v>-37.7</x:v>
      </x:c>
      <x:c r="F59" s="12" t="n">
        <x:v>17.3</x:v>
      </x:c>
      <x:c r="G59" s="11" t="str">
        <x:v>Jonah Coleman</x:v>
      </x:c>
      <x:c r="H59" s="11" t="str">
        <x:v>DEN</x:v>
      </x:c>
      <x:c r="I59" s="13" t="n">
        <x:v>10</x:v>
      </x:c>
      <x:c r="J59" s="12" t="n">
        <x:v>140.6</x:v>
      </x:c>
      <x:c r="K59" s="12" t="n">
        <x:v>64</x:v>
      </x:c>
      <x:c r="L59" s="12" t="n">
        <x:v>76.6</x:v>
      </x:c>
      <x:c r="M59" s="12" t="n">
        <x:v>83.1</x:v>
      </x:c>
      <x:c r="N59" s="12" t="n">
        <x:v>10</x:v>
      </x:c>
      <x:c r="O59" s="12" t="n">
        <x:v>-55.6</x:v>
      </x:c>
      <x:c r="P59" s="11" t="str">
        <x:v>Low</x:v>
      </x:c>
      <x:c r="Q59" s="13" t="n">
        <x:v>6</x:v>
      </x:c>
      <x:c r="R59" s="13" t="n">
        <x:v>19</x:v>
      </x:c>
      <x:c r="S59" s="12" t="n">
        <x:v>0</x:v>
      </x:c>
      <x:c r="T59" s="12"/>
      <x:c r="U59" s="12" t="n">
        <x:v>0</x:v>
      </x:c>
      <x:c r="V59" s="12" t="n">
        <x:v>72</x:v>
      </x:c>
      <x:c r="W59" s="12"/>
      <x:c r="X59" s="13"/>
      <x:c r="Y59" s="11"/>
      <x:c r="Z59" s="11" t="str">
        <x:v>Rookie model: pick 108, age and destination-team environment; team pass volume #6, rush volume #19</x:v>
      </x:c>
    </x:row>
    <x:row r="60" ht="19" customHeight="1">
      <x:c r="A60" s="13" t="n">
        <x:v>56</x:v>
      </x:c>
      <x:c r="B60" s="13" t="n">
        <x:v>226</x:v>
      </x:c>
      <x:c r="C60" s="13" t="n">
        <x:v>233</x:v>
      </x:c>
      <x:c r="D60" s="12" t="n">
        <x:v>233.3</x:v>
      </x:c>
      <x:c r="E60" s="12" t="n">
        <x:v>7.3</x:v>
      </x:c>
      <x:c r="F60" s="12" t="n">
        <x:v>0.3</x:v>
      </x:c>
      <x:c r="G60" s="11" t="str">
        <x:v>Ray Davis</x:v>
      </x:c>
      <x:c r="H60" s="11" t="str">
        <x:v>BUF</x:v>
      </x:c>
      <x:c r="I60" s="13" t="n">
        <x:v>7</x:v>
      </x:c>
      <x:c r="J60" s="12" t="n">
        <x:v>91.4</x:v>
      </x:c>
      <x:c r="K60" s="12" t="n">
        <x:v>65</x:v>
      </x:c>
      <x:c r="L60" s="12" t="n">
        <x:v>26.4</x:v>
      </x:c>
      <x:c r="M60" s="12" t="n">
        <x:v>82.1</x:v>
      </x:c>
      <x:c r="N60" s="12" t="n">
        <x:v>12.1</x:v>
      </x:c>
      <x:c r="O60" s="12" t="n">
        <x:v>-68</x:v>
      </x:c>
      <x:c r="P60" s="11" t="str">
        <x:v>High</x:v>
      </x:c>
      <x:c r="Q60" s="13" t="n">
        <x:v>28</x:v>
      </x:c>
      <x:c r="R60" s="13" t="n">
        <x:v>3</x:v>
      </x:c>
      <x:c r="S60" s="12" t="n">
        <x:v>23.3</x:v>
      </x:c>
      <x:c r="T60" s="12"/>
      <x:c r="U60" s="12" t="n">
        <x:v>81.7</x:v>
      </x:c>
      <x:c r="V60" s="12" t="n">
        <x:v>73</x:v>
      </x:c>
      <x:c r="W60" s="12" t="n">
        <x:v>3.8</x:v>
      </x:c>
      <x:c r="X60" s="13" t="n">
        <x:v>17</x:v>
      </x:c>
      <x:c r="Y60" s="11"/>
      <x:c r="Z60" s="11" t="str">
        <x:v>Veteran model: 2025 form, prior-year trend and same team pass/run forecast; team pass volume #28, rush volume #3</x:v>
      </x:c>
    </x:row>
    <x:row r="61" ht="19" customHeight="1">
      <x:c r="A61" s="13" t="n">
        <x:v>57</x:v>
      </x:c>
      <x:c r="B61" s="13" t="n">
        <x:v>219</x:v>
      </x:c>
      <x:c r="C61" s="13" t="n">
        <x:v>234</x:v>
      </x:c>
      <x:c r="D61" s="12" t="n">
        <x:v>180.4</x:v>
      </x:c>
      <x:c r="E61" s="12" t="n">
        <x:v>-38.6</x:v>
      </x:c>
      <x:c r="F61" s="12" t="n">
        <x:v>-53.6</x:v>
      </x:c>
      <x:c r="G61" s="11" t="str">
        <x:v>Keaton Mitchell</x:v>
      </x:c>
      <x:c r="H61" s="11" t="str">
        <x:v>LAC</x:v>
      </x:c>
      <x:c r="I61" s="13" t="n">
        <x:v>7</x:v>
      </x:c>
      <x:c r="J61" s="12" t="n">
        <x:v>70.1</x:v>
      </x:c>
      <x:c r="K61" s="12" t="n">
        <x:v>97</x:v>
      </x:c>
      <x:c r="L61" s="12" t="n">
        <x:v>-26.9</x:v>
      </x:c>
      <x:c r="M61" s="12" t="n">
        <x:v>79.5</x:v>
      </x:c>
      <x:c r="N61" s="12" t="n">
        <x:v>10.8</x:v>
      </x:c>
      <x:c r="O61" s="12" t="n">
        <x:v>-62.3</x:v>
      </x:c>
      <x:c r="P61" s="11" t="str">
        <x:v>High</x:v>
      </x:c>
      <x:c r="Q61" s="13" t="n">
        <x:v>14</x:v>
      </x:c>
      <x:c r="R61" s="13" t="n">
        <x:v>16</x:v>
      </x:c>
      <x:c r="S61" s="12" t="n">
        <x:v>17.9</x:v>
      </x:c>
      <x:c r="T61" s="12"/>
      <x:c r="U61" s="12" t="n">
        <x:v>73</x:v>
      </x:c>
      <x:c r="V61" s="12" t="n">
        <x:v>88</x:v>
      </x:c>
      <x:c r="W61" s="12" t="n">
        <x:v>4.3</x:v>
      </x:c>
      <x:c r="X61" s="13" t="n">
        <x:v>13</x:v>
      </x:c>
      <x:c r="Y61" s="11"/>
      <x:c r="Z61" s="11" t="str">
        <x:v>Veteran model: 2025 form, prior-year trend and new team pass/run forecast; team pass volume #14, rush volume #16</x:v>
      </x:c>
    </x:row>
    <x:row r="62" ht="19" customHeight="1">
      <x:c r="A62" s="13" t="n">
        <x:v>58</x:v>
      </x:c>
      <x:c r="B62" s="13" t="n">
        <x:v>173</x:v>
      </x:c>
      <x:c r="C62" s="13" t="n">
        <x:v>129</x:v>
      </x:c>
      <x:c r="D62" s="12" t="n">
        <x:v>216.3</x:v>
      </x:c>
      <x:c r="E62" s="12" t="n">
        <x:v>43.3</x:v>
      </x:c>
      <x:c r="F62" s="12" t="n">
        <x:v>87.3</x:v>
      </x:c>
      <x:c r="G62" s="11" t="str">
        <x:v>James Conner</x:v>
      </x:c>
      <x:c r="H62" s="11" t="str">
        <x:v>ARI</x:v>
      </x:c>
      <x:c r="I62" s="13" t="n">
        <x:v>14</x:v>
      </x:c>
      <x:c r="J62" s="12" t="n">
        <x:v>144.6</x:v>
      </x:c>
      <x:c r="K62" s="12" t="n">
        <x:v>57</x:v>
      </x:c>
      <x:c r="L62" s="12" t="n">
        <x:v>87.6</x:v>
      </x:c>
      <x:c r="M62" s="12" t="n">
        <x:v>78.9</x:v>
      </x:c>
      <x:c r="N62" s="12" t="n">
        <x:v>7.2</x:v>
      </x:c>
      <x:c r="O62" s="12" t="n">
        <x:v>-41.8</x:v>
      </x:c>
      <x:c r="P62" s="11" t="str">
        <x:v>Low</x:v>
      </x:c>
      <x:c r="Q62" s="13" t="n">
        <x:v>3</x:v>
      </x:c>
      <x:c r="R62" s="13" t="n">
        <x:v>29</x:v>
      </x:c>
      <x:c r="S62" s="12" t="n">
        <x:v>40.4</x:v>
      </x:c>
      <x:c r="T62" s="12"/>
      <x:c r="U62" s="12" t="n">
        <x:v>148.8</x:v>
      </x:c>
      <x:c r="V62" s="12" t="n">
        <x:v>53</x:v>
      </x:c>
      <x:c r="W62" s="12" t="n">
        <x:v>8.3</x:v>
      </x:c>
      <x:c r="X62" s="13" t="n">
        <x:v>4</x:v>
      </x:c>
      <x:c r="Y62" s="11" t="str">
        <x:v>Ques</x:v>
      </x:c>
      <x:c r="Z62" s="11" t="str">
        <x:v>Veteran model: 2025 form, prior-year trend and same team pass/run forecast; team pass volume #3, rush volume #29</x:v>
      </x:c>
    </x:row>
    <x:row r="63" ht="19" customHeight="1">
      <x:c r="A63" s="13" t="n">
        <x:v>59</x:v>
      </x:c>
      <x:c r="B63" s="13" t="n">
        <x:v>208</x:v>
      </x:c>
      <x:c r="C63" s="13" t="n">
        <x:v>173</x:v>
      </x:c>
      <x:c r="D63" s="12" t="n">
        <x:v>211.9</x:v>
      </x:c>
      <x:c r="E63" s="12" t="n">
        <x:v>3.9</x:v>
      </x:c>
      <x:c r="F63" s="12" t="n">
        <x:v>38.9</x:v>
      </x:c>
      <x:c r="G63" s="11" t="str">
        <x:v>Devin Neal</x:v>
      </x:c>
      <x:c r="H63" s="11" t="str">
        <x:v>NO</x:v>
      </x:c>
      <x:c r="I63" s="13" t="n">
        <x:v>8</x:v>
      </x:c>
      <x:c r="J63" s="12" t="n">
        <x:v>122.3</x:v>
      </x:c>
      <x:c r="K63" s="12" t="n">
        <x:v>32</x:v>
      </x:c>
      <x:c r="L63" s="12" t="n">
        <x:v>90.3</x:v>
      </x:c>
      <x:c r="M63" s="12" t="n">
        <x:v>77.2</x:v>
      </x:c>
      <x:c r="N63" s="12" t="n">
        <x:v>9.7</x:v>
      </x:c>
      <x:c r="O63" s="12" t="n">
        <x:v>-57.3</x:v>
      </x:c>
      <x:c r="P63" s="11" t="str">
        <x:v>Medium</x:v>
      </x:c>
      <x:c r="Q63" s="13" t="n">
        <x:v>8</x:v>
      </x:c>
      <x:c r="R63" s="13" t="n">
        <x:v>22</x:v>
      </x:c>
      <x:c r="S63" s="12" t="n">
        <x:v>36</x:v>
      </x:c>
      <x:c r="T63" s="12"/>
      <x:c r="U63" s="12" t="n">
        <x:v>114.4</x:v>
      </x:c>
      <x:c r="V63" s="12" t="n">
        <x:v>39</x:v>
      </x:c>
      <x:c r="W63" s="12" t="n">
        <x:v>6.7</x:v>
      </x:c>
      <x:c r="X63" s="13" t="n">
        <x:v>9</x:v>
      </x:c>
      <x:c r="Y63" s="11"/>
      <x:c r="Z63" s="11" t="str">
        <x:v>Veteran model: 2025 form, prior-year trend and same team pass/run forecast; team pass volume #8, rush volume #22</x:v>
      </x:c>
    </x:row>
    <x:row r="64" ht="19" customHeight="1">
      <x:c r="A64" s="13" t="n">
        <x:v>60</x:v>
      </x:c>
      <x:c r="B64" s="13" t="n">
        <x:v>207</x:v>
      </x:c>
      <x:c r="C64" s="13" t="n">
        <x:v>203</x:v>
      </x:c>
      <x:c r="D64" s="12" t="n">
        <x:v>195.6</x:v>
      </x:c>
      <x:c r="E64" s="12" t="n">
        <x:v>-11.4</x:v>
      </x:c>
      <x:c r="F64" s="12" t="n">
        <x:v>-7.4</x:v>
      </x:c>
      <x:c r="G64" s="11" t="str">
        <x:v>Emmett Johnson</x:v>
      </x:c>
      <x:c r="H64" s="11" t="str">
        <x:v>KC</x:v>
      </x:c>
      <x:c r="I64" s="13" t="n">
        <x:v>5</x:v>
      </x:c>
      <x:c r="J64" s="12" t="n">
        <x:v>97.2</x:v>
      </x:c>
      <x:c r="K64" s="12" t="n">
        <x:v>65</x:v>
      </x:c>
      <x:c r="L64" s="12" t="n">
        <x:v>32.2</x:v>
      </x:c>
      <x:c r="M64" s="12" t="n">
        <x:v>73.1</x:v>
      </x:c>
      <x:c r="N64" s="12" t="n">
        <x:v>9.2</x:v>
      </x:c>
      <x:c r="O64" s="12" t="n">
        <x:v>-56.6</x:v>
      </x:c>
      <x:c r="P64" s="11" t="str">
        <x:v>Low</x:v>
      </x:c>
      <x:c r="Q64" s="13" t="n">
        <x:v>5</x:v>
      </x:c>
      <x:c r="R64" s="13" t="n">
        <x:v>25</x:v>
      </x:c>
      <x:c r="S64" s="12" t="n">
        <x:v>0</x:v>
      </x:c>
      <x:c r="T64" s="12"/>
      <x:c r="U64" s="12" t="n">
        <x:v>0</x:v>
      </x:c>
      <x:c r="V64" s="12" t="n">
        <x:v>67</x:v>
      </x:c>
      <x:c r="W64" s="12"/>
      <x:c r="X64" s="13"/>
      <x:c r="Y64" s="11"/>
      <x:c r="Z64" s="11" t="str">
        <x:v>Rookie model: pick 161, age and destination-team environment; team pass volume #5, rush volume #25</x:v>
      </x:c>
    </x:row>
    <x:row r="65" ht="19" customHeight="1">
      <x:c r="A65" s="13" t="n">
        <x:v>61</x:v>
      </x:c>
      <x:c r="B65" s="13" t="n">
        <x:v>204</x:v>
      </x:c>
      <x:c r="C65" s="13" t="n">
        <x:v>200</x:v>
      </x:c>
      <x:c r="D65" s="12" t="n">
        <x:v>191.2</x:v>
      </x:c>
      <x:c r="E65" s="12" t="n">
        <x:v>-12.8</x:v>
      </x:c>
      <x:c r="F65" s="12" t="n">
        <x:v>-8.8</x:v>
      </x:c>
      <x:c r="G65" s="11" t="str">
        <x:v>Nicholas Singleton</x:v>
      </x:c>
      <x:c r="H65" s="11" t="str">
        <x:v>TEN</x:v>
      </x:c>
      <x:c r="I65" s="13" t="n">
        <x:v>9</x:v>
      </x:c>
      <x:c r="J65" s="12" t="n">
        <x:v>98.8</x:v>
      </x:c>
      <x:c r="K65" s="12" t="n">
        <x:v>64</x:v>
      </x:c>
      <x:c r="L65" s="12" t="n">
        <x:v>34.8</x:v>
      </x:c>
      <x:c r="M65" s="12" t="n">
        <x:v>72.7</x:v>
      </x:c>
      <x:c r="N65" s="12" t="n">
        <x:v>9</x:v>
      </x:c>
      <x:c r="O65" s="12" t="n">
        <x:v>-55.5</x:v>
      </x:c>
      <x:c r="P65" s="11" t="str">
        <x:v>Low</x:v>
      </x:c>
      <x:c r="Q65" s="13" t="n">
        <x:v>18</x:v>
      </x:c>
      <x:c r="R65" s="13" t="n">
        <x:v>30</x:v>
      </x:c>
      <x:c r="S65" s="12" t="n">
        <x:v>0</x:v>
      </x:c>
      <x:c r="T65" s="12"/>
      <x:c r="U65" s="12" t="n">
        <x:v>0</x:v>
      </x:c>
      <x:c r="V65" s="12" t="n">
        <x:v>65</x:v>
      </x:c>
      <x:c r="W65" s="12"/>
      <x:c r="X65" s="13"/>
      <x:c r="Y65" s="11"/>
      <x:c r="Z65" s="11" t="str">
        <x:v>Rookie model: pick 165, age and destination-team environment; team pass volume #18, rush volume #30</x:v>
      </x:c>
    </x:row>
    <x:row r="66" ht="19" customHeight="1">
      <x:c r="A66" s="13" t="n">
        <x:v>62</x:v>
      </x:c>
      <x:c r="B66" s="13" t="n">
        <x:v>202</x:v>
      </x:c>
      <x:c r="C66" s="13" t="n">
        <x:v>192</x:v>
      </x:c>
      <x:c r="D66" s="12" t="n">
        <x:v>232.5</x:v>
      </x:c>
      <x:c r="E66" s="12" t="n">
        <x:v>30.5</x:v>
      </x:c>
      <x:c r="F66" s="12" t="n">
        <x:v>40.5</x:v>
      </x:c>
      <x:c r="G66" s="11" t="str">
        <x:v>Jaydon Blue</x:v>
      </x:c>
      <x:c r="H66" s="11" t="str">
        <x:v>DAL</x:v>
      </x:c>
      <x:c r="I66" s="13" t="n">
        <x:v>14</x:v>
      </x:c>
      <x:c r="J66" s="12" t="n">
        <x:v>101.5</x:v>
      </x:c>
      <x:c r="K66" s="12" t="n">
        <x:v>57</x:v>
      </x:c>
      <x:c r="L66" s="12" t="n">
        <x:v>44.5</x:v>
      </x:c>
      <x:c r="M66" s="12" t="n">
        <x:v>68.1</x:v>
      </x:c>
      <x:c r="N66" s="12" t="n">
        <x:v>8.4</x:v>
      </x:c>
      <x:c r="O66" s="12" t="n">
        <x:v>-54.1</x:v>
      </x:c>
      <x:c r="P66" s="11" t="str">
        <x:v>Low</x:v>
      </x:c>
      <x:c r="Q66" s="13" t="n">
        <x:v>2</x:v>
      </x:c>
      <x:c r="R66" s="13" t="n">
        <x:v>20</x:v>
      </x:c>
      <x:c r="S66" s="12" t="n">
        <x:v>21.4</x:v>
      </x:c>
      <x:c r="T66" s="12"/>
      <x:c r="U66" s="12" t="n">
        <x:v>119.5</x:v>
      </x:c>
      <x:c r="V66" s="12" t="n">
        <x:v>68</x:v>
      </x:c>
      <x:c r="W66" s="12" t="n">
        <x:v>4.1</x:v>
      </x:c>
      <x:c r="X66" s="13" t="n">
        <x:v>5</x:v>
      </x:c>
      <x:c r="Y66" s="11" t="str">
        <x:v>Ques</x:v>
      </x:c>
      <x:c r="Z66" s="11" t="str">
        <x:v>Veteran model: 2025 form, prior-year trend and same team pass/run forecast; team pass volume #2, rush volume #20</x:v>
      </x:c>
    </x:row>
    <x:row r="67" ht="19" customHeight="1">
      <x:c r="A67" s="13" t="n">
        <x:v>63</x:v>
      </x:c>
      <x:c r="B67" s="13" t="n">
        <x:v>229</x:v>
      </x:c>
      <x:c r="C67" s="13" t="n">
        <x:v>218</x:v>
      </x:c>
      <x:c r="D67" s="12" t="n">
        <x:v>226.3</x:v>
      </x:c>
      <x:c r="E67" s="12" t="n">
        <x:v>-2.7</x:v>
      </x:c>
      <x:c r="F67" s="12" t="n">
        <x:v>8.3</x:v>
      </x:c>
      <x:c r="G67" s="11" t="str">
        <x:v>Brashard Smith</x:v>
      </x:c>
      <x:c r="H67" s="11" t="str">
        <x:v>KC</x:v>
      </x:c>
      <x:c r="I67" s="13" t="n">
        <x:v>5</x:v>
      </x:c>
      <x:c r="J67" s="12" t="n">
        <x:v>107.5</x:v>
      </x:c>
      <x:c r="K67" s="12" t="n">
        <x:v>20</x:v>
      </x:c>
      <x:c r="L67" s="12" t="n">
        <x:v>87.5</x:v>
      </x:c>
      <x:c r="M67" s="12" t="n">
        <x:v>63.7</x:v>
      </x:c>
      <x:c r="N67" s="12" t="n">
        <x:v>11.3</x:v>
      </x:c>
      <x:c r="O67" s="12" t="n">
        <x:v>-75.7</x:v>
      </x:c>
      <x:c r="P67" s="11" t="str">
        <x:v>Medium</x:v>
      </x:c>
      <x:c r="Q67" s="13" t="n">
        <x:v>5</x:v>
      </x:c>
      <x:c r="R67" s="13" t="n">
        <x:v>25</x:v>
      </x:c>
      <x:c r="S67" s="12" t="n">
        <x:v>37.2</x:v>
      </x:c>
      <x:c r="T67" s="12"/>
      <x:c r="U67" s="12" t="n">
        <x:v>82.6</x:v>
      </x:c>
      <x:c r="V67" s="12" t="n">
        <x:v>16</x:v>
      </x:c>
      <x:c r="W67" s="12" t="n">
        <x:v>3.7</x:v>
      </x:c>
      <x:c r="X67" s="13" t="n">
        <x:v>17</x:v>
      </x:c>
      <x:c r="Y67" s="11"/>
      <x:c r="Z67" s="11" t="str">
        <x:v>Veteran model: 2025 form, prior-year trend and same team pass/run forecast; team pass volume #5, rush volume #25</x:v>
      </x:c>
    </x:row>
    <x:row r="68" ht="19" customHeight="1">
      <x:c r="A68" s="13" t="n">
        <x:v>64</x:v>
      </x:c>
      <x:c r="B68" s="13" t="n">
        <x:v>215</x:v>
      </x:c>
      <x:c r="C68" s="13" t="n">
        <x:v>212</x:v>
      </x:c>
      <x:c r="D68" s="12" t="n">
        <x:v>217.5</x:v>
      </x:c>
      <x:c r="E68" s="12" t="n">
        <x:v>2.5</x:v>
      </x:c>
      <x:c r="F68" s="12" t="n">
        <x:v>5.5</x:v>
      </x:c>
      <x:c r="G68" s="11" t="str">
        <x:v>Kaleb Johnson</x:v>
      </x:c>
      <x:c r="H68" s="11" t="str">
        <x:v>PIT</x:v>
      </x:c>
      <x:c r="I68" s="13" t="n">
        <x:v>9</x:v>
      </x:c>
      <x:c r="J68" s="12" t="n">
        <x:v>89.4</x:v>
      </x:c>
      <x:c r="K68" s="12" t="n">
        <x:v>32</x:v>
      </x:c>
      <x:c r="L68" s="12" t="n">
        <x:v>57.4</x:v>
      </x:c>
      <x:c r="M68" s="12" t="n">
        <x:v>60.7</x:v>
      </x:c>
      <x:c r="N68" s="12" t="n">
        <x:v>8.8</x:v>
      </x:c>
      <x:c r="O68" s="12" t="n">
        <x:v>-60.5</x:v>
      </x:c>
      <x:c r="P68" s="11" t="str">
        <x:v>Medium</x:v>
      </x:c>
      <x:c r="Q68" s="13" t="n">
        <x:v>24</x:v>
      </x:c>
      <x:c r="R68" s="13" t="n">
        <x:v>18</x:v>
      </x:c>
      <x:c r="S68" s="12" t="n">
        <x:v>23.8</x:v>
      </x:c>
      <x:c r="T68" s="12"/>
      <x:c r="U68" s="12" t="n">
        <x:v>94.3</x:v>
      </x:c>
      <x:c r="V68" s="12" t="n">
        <x:v>42</x:v>
      </x:c>
      <x:c r="W68" s="12" t="n">
        <x:v>0.9</x:v>
      </x:c>
      <x:c r="X68" s="13" t="n">
        <x:v>10</x:v>
      </x:c>
      <x:c r="Y68" s="11"/>
      <x:c r="Z68" s="11" t="str">
        <x:v>Veteran model: 2025 form, prior-year trend and same team pass/run forecast; team pass volume #24, rush volume #18</x:v>
      </x:c>
    </x:row>
    <x:row r="69" ht="19" customHeight="1">
      <x:c r="A69" s="13" t="n">
        <x:v>65</x:v>
      </x:c>
      <x:c r="B69" s="13" t="n">
        <x:v>203</x:v>
      </x:c>
      <x:c r="C69" s="13" t="n">
        <x:v>201</x:v>
      </x:c>
      <x:c r="D69" s="12" t="n">
        <x:v>211</x:v>
      </x:c>
      <x:c r="E69" s="12" t="n">
        <x:v>8</x:v>
      </x:c>
      <x:c r="F69" s="12" t="n">
        <x:v>10</x:v>
      </x:c>
      <x:c r="G69" s="11" t="str">
        <x:v>Braelon Allen</x:v>
      </x:c>
      <x:c r="H69" s="11" t="str">
        <x:v>NYJ</x:v>
      </x:c>
      <x:c r="I69" s="13" t="n">
        <x:v>13</x:v>
      </x:c>
      <x:c r="J69" s="12" t="n">
        <x:v>85.4</x:v>
      </x:c>
      <x:c r="K69" s="12" t="n">
        <x:v>52</x:v>
      </x:c>
      <x:c r="L69" s="12" t="n">
        <x:v>33.4</x:v>
      </x:c>
      <x:c r="M69" s="12" t="n">
        <x:v>60.3</x:v>
      </x:c>
      <x:c r="N69" s="12" t="n">
        <x:v>7.9</x:v>
      </x:c>
      <x:c r="O69" s="12" t="n">
        <x:v>-54.5</x:v>
      </x:c>
      <x:c r="P69" s="11" t="str">
        <x:v>Low</x:v>
      </x:c>
      <x:c r="Q69" s="13" t="n">
        <x:v>20</x:v>
      </x:c>
      <x:c r="R69" s="13" t="n">
        <x:v>28</x:v>
      </x:c>
      <x:c r="S69" s="12" t="n">
        <x:v>21.5</x:v>
      </x:c>
      <x:c r="T69" s="12"/>
      <x:c r="U69" s="12" t="n">
        <x:v>91.4</x:v>
      </x:c>
      <x:c r="V69" s="12" t="n">
        <x:v>57</x:v>
      </x:c>
      <x:c r="W69" s="12" t="n">
        <x:v>3.8</x:v>
      </x:c>
      <x:c r="X69" s="13" t="n">
        <x:v>4</x:v>
      </x:c>
      <x:c r="Y69" s="11"/>
      <x:c r="Z69" s="11" t="str">
        <x:v>Veteran model: 2025 form, prior-year trend and same team pass/run forecast; team pass volume #20, rush volume #28</x:v>
      </x:c>
    </x:row>
    <x:row r="70" ht="19" customHeight="1">
      <x:c r="A70" s="13" t="n">
        <x:v>66</x:v>
      </x:c>
      <x:c r="B70" s="13" t="n">
        <x:v>186</x:v>
      </x:c>
      <x:c r="C70" s="13" t="n">
        <x:v>194</x:v>
      </x:c>
      <x:c r="D70" s="12" t="n">
        <x:v>200.3</x:v>
      </x:c>
      <x:c r="E70" s="12" t="n">
        <x:v>14.3</x:v>
      </x:c>
      <x:c r="F70" s="12" t="n">
        <x:v>6.3</x:v>
      </x:c>
      <x:c r="G70" s="11" t="str">
        <x:v>MarShawn Lloyd</x:v>
      </x:c>
      <x:c r="H70" s="11" t="str">
        <x:v>GB</x:v>
      </x:c>
      <x:c r="I70" s="13" t="n">
        <x:v>11</x:v>
      </x:c>
      <x:c r="J70" s="12" t="n">
        <x:v>80.3</x:v>
      </x:c>
      <x:c r="K70" s="12" t="n">
        <x:v>52</x:v>
      </x:c>
      <x:c r="L70" s="12" t="n">
        <x:v>28.3</x:v>
      </x:c>
      <x:c r="M70" s="12" t="n">
        <x:v>59.1</x:v>
      </x:c>
      <x:c r="N70" s="12" t="n">
        <x:v>6.7</x:v>
      </x:c>
      <x:c r="O70" s="12" t="n">
        <x:v>-46.7</x:v>
      </x:c>
      <x:c r="P70" s="11" t="str">
        <x:v>Low</x:v>
      </x:c>
      <x:c r="Q70" s="13" t="n">
        <x:v>30</x:v>
      </x:c>
      <x:c r="R70" s="13" t="n">
        <x:v>4</x:v>
      </x:c>
      <x:c r="S70" s="12" t="n">
        <x:v>22</x:v>
      </x:c>
      <x:c r="T70" s="12"/>
      <x:c r="U70" s="12" t="n">
        <x:v>86.8</x:v>
      </x:c>
      <x:c r="V70" s="12" t="n">
        <x:v>68</x:v>
      </x:c>
      <x:c r="W70" s="12"/>
      <x:c r="X70" s="13"/>
      <x:c r="Y70" s="11"/>
      <x:c r="Z70" s="11" t="str">
        <x:v>Veteran model: 2024 form, prior-year trend and same team pass/run forecast; team pass volume #30, rush volume #4</x:v>
      </x:c>
    </x:row>
    <x:row r="71" ht="19" customHeight="1">
      <x:c r="A71" s="13" t="n">
        <x:v>67</x:v>
      </x:c>
      <x:c r="B71" s="13" t="n">
        <x:v>220</x:v>
      </x:c>
      <x:c r="C71" s="13" t="n">
        <x:v>190</x:v>
      </x:c>
      <x:c r="D71" s="12" t="n">
        <x:v>224.8</x:v>
      </x:c>
      <x:c r="E71" s="12" t="n">
        <x:v>4.8</x:v>
      </x:c>
      <x:c r="F71" s="12" t="n">
        <x:v>34.8</x:v>
      </x:c>
      <x:c r="G71" s="11" t="str">
        <x:v>Kendre Miller</x:v>
      </x:c>
      <x:c r="H71" s="11" t="str">
        <x:v>NO</x:v>
      </x:c>
      <x:c r="I71" s="13" t="n">
        <x:v>8</x:v>
      </x:c>
      <x:c r="J71" s="12" t="n">
        <x:v>104.6</x:v>
      </x:c>
      <x:c r="K71" s="12" t="n">
        <x:v>6</x:v>
      </x:c>
      <x:c r="L71" s="12" t="n">
        <x:v>98.6</x:v>
      </x:c>
      <x:c r="M71" s="12" t="n">
        <x:v>55.3</x:v>
      </x:c>
      <x:c r="N71" s="12" t="n">
        <x:v>8.7</x:v>
      </x:c>
      <x:c r="O71" s="12" t="n">
        <x:v>-62.6</x:v>
      </x:c>
      <x:c r="P71" s="11" t="str">
        <x:v>Medium</x:v>
      </x:c>
      <x:c r="Q71" s="13" t="n">
        <x:v>8</x:v>
      </x:c>
      <x:c r="R71" s="13" t="n">
        <x:v>22</x:v>
      </x:c>
      <x:c r="S71" s="12" t="n">
        <x:v>25.3</x:v>
      </x:c>
      <x:c r="T71" s="12"/>
      <x:c r="U71" s="12" t="n">
        <x:v>119.6</x:v>
      </x:c>
      <x:c r="V71" s="12" t="n">
        <x:v>5</x:v>
      </x:c>
      <x:c r="W71" s="12" t="n">
        <x:v>4.8</x:v>
      </x:c>
      <x:c r="X71" s="13" t="n">
        <x:v>7</x:v>
      </x:c>
      <x:c r="Y71" s="11"/>
      <x:c r="Z71" s="11" t="str">
        <x:v>Veteran model: 2025 form, prior-year trend and same team pass/run forecast; team pass volume #8, rush volume #22</x:v>
      </x:c>
    </x:row>
    <x:row r="72" ht="19" customHeight="1">
      <x:c r="A72" s="13" t="n">
        <x:v>68</x:v>
      </x:c>
      <x:c r="B72" s="13" t="n">
        <x:v>227</x:v>
      </x:c>
      <x:c r="C72" s="13" t="n">
        <x:v>139</x:v>
      </x:c>
      <x:c r="D72" s="12" t="n">
        <x:v>237.4</x:v>
      </x:c>
      <x:c r="E72" s="12" t="n">
        <x:v>10.4</x:v>
      </x:c>
      <x:c r="F72" s="12" t="n">
        <x:v>98.4</x:v>
      </x:c>
      <x:c r="G72" s="11" t="str">
        <x:v>Audric Estime</x:v>
      </x:c>
      <x:c r="H72" s="11" t="str">
        <x:v>NO</x:v>
      </x:c>
      <x:c r="I72" s="13" t="n">
        <x:v>8</x:v>
      </x:c>
      <x:c r="J72" s="12" t="n">
        <x:v>147.5</x:v>
      </x:c>
      <x:c r="K72" s="12" t="n">
        <x:v>23</x:v>
      </x:c>
      <x:c r="L72" s="12" t="n">
        <x:v>124.5</x:v>
      </x:c>
      <x:c r="M72" s="12" t="n">
        <x:v>54.1</x:v>
      </x:c>
      <x:c r="N72" s="12" t="n">
        <x:v>9.8</x:v>
      </x:c>
      <x:c r="O72" s="12" t="n">
        <x:v>-71.2</x:v>
      </x:c>
      <x:c r="P72" s="11" t="str">
        <x:v>Low</x:v>
      </x:c>
      <x:c r="Q72" s="13" t="n">
        <x:v>8</x:v>
      </x:c>
      <x:c r="R72" s="13" t="n">
        <x:v>22</x:v>
      </x:c>
      <x:c r="S72" s="12" t="n">
        <x:v>40</x:v>
      </x:c>
      <x:c r="T72" s="12"/>
      <x:c r="U72" s="12" t="n">
        <x:v>148.6</x:v>
      </x:c>
      <x:c r="V72" s="12" t="n">
        <x:v>30</x:v>
      </x:c>
      <x:c r="W72" s="12" t="n">
        <x:v>6.9</x:v>
      </x:c>
      <x:c r="X72" s="13" t="n">
        <x:v>7</x:v>
      </x:c>
      <x:c r="Y72" s="11" t="str">
        <x:v>Ques</x:v>
      </x:c>
      <x:c r="Z72" s="11" t="str">
        <x:v>Veteran model: 2025 form, prior-year trend and same team pass/run forecast; team pass volume #8, rush volume #22</x:v>
      </x:c>
    </x:row>
    <x:row r="73" ht="19" customHeight="1">
      <x:c r="A73" s="13" t="n">
        <x:v>69</x:v>
      </x:c>
      <x:c r="B73" s="13" t="n">
        <x:v>224</x:v>
      </x:c>
      <x:c r="C73" s="13" t="n">
        <x:v>227</x:v>
      </x:c>
      <x:c r="D73" s="12" t="n">
        <x:v>240.6</x:v>
      </x:c>
      <x:c r="E73" s="12" t="n">
        <x:v>16.6</x:v>
      </x:c>
      <x:c r="F73" s="12" t="n">
        <x:v>13.6</x:v>
      </x:c>
      <x:c r="G73" s="11" t="str">
        <x:v>Kaytron Allen</x:v>
      </x:c>
      <x:c r="H73" s="11" t="str">
        <x:v>WAS</x:v>
      </x:c>
      <x:c r="I73" s="13" t="n">
        <x:v>7</x:v>
      </x:c>
      <x:c r="J73" s="12" t="n">
        <x:v>78.4</x:v>
      </x:c>
      <x:c r="K73" s="12" t="n">
        <x:v>46</x:v>
      </x:c>
      <x:c r="L73" s="12" t="n">
        <x:v>32.4</x:v>
      </x:c>
      <x:c r="M73" s="12" t="n">
        <x:v>54.1</x:v>
      </x:c>
      <x:c r="N73" s="12" t="n">
        <x:v>8.9</x:v>
      </x:c>
      <x:c r="O73" s="12" t="n">
        <x:v>-64.7</x:v>
      </x:c>
      <x:c r="P73" s="11" t="str">
        <x:v>Low</x:v>
      </x:c>
      <x:c r="Q73" s="13" t="n">
        <x:v>29</x:v>
      </x:c>
      <x:c r="R73" s="13" t="n">
        <x:v>8</x:v>
      </x:c>
      <x:c r="S73" s="12" t="n">
        <x:v>0</x:v>
      </x:c>
      <x:c r="T73" s="12"/>
      <x:c r="U73" s="12" t="n">
        <x:v>0</x:v>
      </x:c>
      <x:c r="V73" s="12" t="n">
        <x:v>53</x:v>
      </x:c>
      <x:c r="W73" s="12"/>
      <x:c r="X73" s="13"/>
      <x:c r="Y73" s="11"/>
      <x:c r="Z73" s="11" t="str">
        <x:v>Rookie model: pick 187, age and destination-team environment; team pass volume #29, rush volume #8</x:v>
      </x:c>
    </x:row>
    <x:row r="74" ht="19" customHeight="1">
      <x:c r="A74" s="13" t="n">
        <x:v>70</x:v>
      </x:c>
      <x:c r="B74" s="13" t="n">
        <x:v>225</x:v>
      </x:c>
      <x:c r="C74" s="13" t="n">
        <x:v>199</x:v>
      </x:c>
      <x:c r="D74" s="12" t="n">
        <x:v>212.3</x:v>
      </x:c>
      <x:c r="E74" s="12" t="n">
        <x:v>-12.7</x:v>
      </x:c>
      <x:c r="F74" s="12" t="n">
        <x:v>13.3</x:v>
      </x:c>
      <x:c r="G74" s="11" t="str">
        <x:v>Najee Harris</x:v>
      </x:c>
      <x:c r="H74" s="11" t="str">
        <x:v>NYG</x:v>
      </x:c>
      <x:c r="I74" s="13" t="n">
        <x:v>8</x:v>
      </x:c>
      <x:c r="J74" s="12" t="n">
        <x:v>95.3</x:v>
      </x:c>
      <x:c r="K74" s="12" t="n">
        <x:v>26</x:v>
      </x:c>
      <x:c r="L74" s="12" t="n">
        <x:v>69.3</x:v>
      </x:c>
      <x:c r="M74" s="12" t="n">
        <x:v>43.3</x:v>
      </x:c>
      <x:c r="N74" s="12" t="n">
        <x:v>8.6</x:v>
      </x:c>
      <x:c r="O74" s="12" t="n">
        <x:v>-67.9</x:v>
      </x:c>
      <x:c r="P74" s="11" t="str">
        <x:v>Low</x:v>
      </x:c>
      <x:c r="Q74" s="13" t="n">
        <x:v>19</x:v>
      </x:c>
      <x:c r="R74" s="13" t="n">
        <x:v>10</x:v>
      </x:c>
      <x:c r="S74" s="12" t="n">
        <x:v>24.1</x:v>
      </x:c>
      <x:c r="T74" s="12"/>
      <x:c r="U74" s="12" t="n">
        <x:v>110.7</x:v>
      </x:c>
      <x:c r="V74" s="12" t="n">
        <x:v>30</x:v>
      </x:c>
      <x:c r="W74" s="12" t="n">
        <x:v>3.9</x:v>
      </x:c>
      <x:c r="X74" s="13" t="n">
        <x:v>3</x:v>
      </x:c>
      <x:c r="Y74" s="11"/>
      <x:c r="Z74" s="11" t="str">
        <x:v>Veteran model: 2025 form, prior-year trend and new team pass/run forecast; team pass volume #19, rush volume #10</x:v>
      </x:c>
    </x:row>
    <x:row r="75" ht="19" customHeight="1">
      <x:c r="A75" s="13" t="n">
        <x:v>71</x:v>
      </x:c>
      <x:c r="B75" s="13" t="n">
        <x:v>222</x:v>
      </x:c>
      <x:c r="C75" s="13" t="n">
        <x:v>204</x:v>
      </x:c>
      <x:c r="D75" s="12" t="n">
        <x:v>242</x:v>
      </x:c>
      <x:c r="E75" s="12" t="n">
        <x:v>20</x:v>
      </x:c>
      <x:c r="F75" s="12" t="n">
        <x:v>38</x:v>
      </x:c>
      <x:c r="G75" s="11" t="str">
        <x:v>Demond Claiborne</x:v>
      </x:c>
      <x:c r="H75" s="11" t="str">
        <x:v>MIN</x:v>
      </x:c>
      <x:c r="I75" s="13" t="n">
        <x:v>6</x:v>
      </x:c>
      <x:c r="J75" s="12" t="n">
        <x:v>82</x:v>
      </x:c>
      <x:c r="K75" s="12" t="n">
        <x:v>25</x:v>
      </x:c>
      <x:c r="L75" s="12" t="n">
        <x:v>57</x:v>
      </x:c>
      <x:c r="M75" s="12" t="n">
        <x:v>39.2</x:v>
      </x:c>
      <x:c r="N75" s="12" t="n">
        <x:v>7.8</x:v>
      </x:c>
      <x:c r="O75" s="12" t="n">
        <x:v>-63.5</x:v>
      </x:c>
      <x:c r="P75" s="11" t="str">
        <x:v>Low</x:v>
      </x:c>
      <x:c r="Q75" s="13" t="n">
        <x:v>26</x:v>
      </x:c>
      <x:c r="R75" s="13" t="n">
        <x:v>27</x:v>
      </x:c>
      <x:c r="S75" s="12" t="n">
        <x:v>0</x:v>
      </x:c>
      <x:c r="T75" s="12"/>
      <x:c r="U75" s="12" t="n">
        <x:v>0</x:v>
      </x:c>
      <x:c r="V75" s="12" t="n">
        <x:v>29</x:v>
      </x:c>
      <x:c r="W75" s="12"/>
      <x:c r="X75" s="13"/>
      <x:c r="Y75" s="11"/>
      <x:c r="Z75" s="11" t="str">
        <x:v>Rookie model: pick 198, age and destination-team environment; team pass volume #26, rush volume #27</x:v>
      </x:c>
    </x:row>
    <x:row r="76" ht="19" customHeight="1">
      <x:c r="A76" s="13" t="n">
        <x:v>72</x:v>
      </x:c>
      <x:c r="B76" s="13" t="n">
        <x:v>235</x:v>
      </x:c>
      <x:c r="C76" s="13" t="n">
        <x:v>235</x:v>
      </x:c>
      <x:c r="D76" s="12" t="n">
        <x:v>240.6</x:v>
      </x:c>
      <x:c r="E76" s="12" t="n">
        <x:v>5.6</x:v>
      </x:c>
      <x:c r="F76" s="12" t="n">
        <x:v>5.6</x:v>
      </x:c>
      <x:c r="G76" s="11" t="str">
        <x:v>Jarquez Hunter</x:v>
      </x:c>
      <x:c r="H76" s="11" t="str">
        <x:v>LAR</x:v>
      </x:c>
      <x:c r="I76" s="13" t="n">
        <x:v>11</x:v>
      </x:c>
      <x:c r="J76" s="12" t="n">
        <x:v>10</x:v>
      </x:c>
      <x:c r="K76" s="12" t="n">
        <x:v>10</x:v>
      </x:c>
      <x:c r="L76" s="12" t="n">
        <x:v>0</x:v>
      </x:c>
      <x:c r="M76" s="12" t="n">
        <x:v>10</x:v>
      </x:c>
      <x:c r="N76" s="12" t="n">
        <x:v>17</x:v>
      </x:c>
      <x:c r="O76" s="12" t="n">
        <x:v>-167.6</x:v>
      </x:c>
      <x:c r="P76" s="11" t="str">
        <x:v>Low</x:v>
      </x:c>
      <x:c r="Q76" s="13" t="n">
        <x:v>7</x:v>
      </x:c>
      <x:c r="R76" s="13" t="n">
        <x:v>14</x:v>
      </x:c>
      <x:c r="S76" s="12" t="n">
        <x:v>0</x:v>
      </x:c>
      <x:c r="T76" s="12"/>
      <x:c r="U76" s="12" t="n">
        <x:v>0</x:v>
      </x:c>
      <x:c r="V76" s="12" t="n">
        <x:v>15</x:v>
      </x:c>
      <x:c r="W76" s="12"/>
      <x:c r="X76" s="13"/>
      <x:c r="Y76" s="11"/>
      <x:c r="Z76" s="11" t="str">
        <x:v>No reliable NFLverse player match; Sleeper only; team pass volume #7, rush volume #14</x:v>
      </x:c>
    </x:row>
  </x:sheetData>
  <x:mergeCells>
    <x:mergeCell ref="A1:Z1"/>
    <x:mergeCell ref="A2:Z2"/>
  </x:mergeCells>
  <x:conditionalFormatting sqref="E5:F76">
    <x:cfRule type="colorScale" priority="1">
      <x:colorScale>
        <x:cfvo type="min"/>
        <x:cfvo type="percentile" val="50"/>
        <x:cfvo type="max"/>
        <x:color rgb="FFE67C73"/>
        <x:color rgb="FFFFF0C2"/>
        <x:color rgb="FF63BE7B"/>
      </x:colorScale>
    </x:cfRule>
  </x:conditionalFormatting>
  <x:conditionalFormatting sqref="J5:O76">
    <x:cfRule type="colorScale" priority="2">
      <x:colorScale>
        <x:cfvo type="min"/>
        <x:cfvo type="percentile" val="50"/>
        <x:cfvo type="max"/>
        <x:color rgb="FFE67C73"/>
        <x:color rgb="FFFFF0C2"/>
        <x:color rgb="FF63BE7B"/>
      </x:colorScale>
    </x:cfRule>
  </x:conditionalFormatting>
  <x:conditionalFormatting sqref="P5:P76">
    <x:cfRule type="containsText" dxfId="42" priority="3" operator="containsText" text="High"/>
    <x:cfRule type="containsText" dxfId="43" priority="4" operator="containsText" text="Medium"/>
    <x:cfRule type="containsText" dxfId="44" priority="5" operator="containsText" text="Low"/>
  </x:conditionalFormatting>
  <x:conditionalFormatting sqref="Y5:Y76">
    <x:cfRule type="notContainsBlanks" dxfId="45" priority="6"/>
  </x:conditionalFormatting>
  <x:pageMargins left="0.7" right="0.7" top="0.75" bottom="0.75" header="0.3" footer="0.3"/>
  <x:tableParts count="1">
    <x:tablePart xmlns:r="http://schemas.openxmlformats.org/officeDocument/2006/relationships" r:id="R2f6496ddf10546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11" hidden="0" customWidth="1"/>
    <x:col min="4" max="4" width="8" hidden="0" customWidth="1"/>
    <x:col min="5" max="5" width="10" hidden="0" customWidth="1"/>
    <x:col min="6" max="6" width="9" hidden="0" customWidth="1"/>
    <x:col min="7" max="7" width="24" hidden="0" customWidth="1"/>
    <x:col min="8" max="8" width="8" hidden="0" customWidth="1"/>
    <x:col min="9" max="9" width="7" hidden="0" customWidth="1"/>
    <x:col min="10" max="10" width="10" hidden="0" customWidth="1"/>
    <x:col min="11" max="11" width="10" hidden="0" customWidth="1"/>
    <x:col min="12" max="12" width="10" hidden="0" customWidth="1"/>
    <x:col min="13" max="13" width="11" hidden="0" customWidth="1"/>
    <x:col min="14" max="14" width="8" hidden="0" customWidth="1"/>
    <x:col min="15" max="15" width="9" hidden="0" customWidth="1"/>
    <x:col min="16" max="16" width="11" hidden="0" customWidth="1"/>
    <x:col min="17" max="17" width="10" hidden="0" customWidth="1"/>
    <x:col min="18" max="18" width="10" hidden="0" customWidth="1"/>
    <x:col min="19" max="19" width="12" hidden="0" customWidth="1"/>
    <x:col min="20" max="20" width="14" hidden="0" customWidth="1"/>
    <x:col min="21" max="21" width="12" hidden="0" customWidth="1"/>
    <x:col min="22" max="22" width="14" hidden="0" customWidth="1"/>
    <x:col min="23" max="23" width="10" hidden="0" customWidth="1"/>
    <x:col min="24" max="24" width="9" hidden="0" customWidth="1"/>
    <x:col min="25" max="25" width="10" hidden="0" customWidth="1"/>
    <x:col min="26" max="26" width="52" hidden="0" customWidth="1"/>
  </x:cols>
  <x:sheetData>
    <x:row r="1" ht="32" customHeight="1">
      <x:c r="A1" s="3" t="str">
        <x:v>WR POSITION BOARD</x:v>
      </x:c>
    </x:row>
    <x:row r="2" ht="26" customHeight="1">
      <x:c r="A2" s="7" t="str">
        <x:v>Own projection, Sleeper comparison, team environment and expected opportunity | decision replacement: 37</x:v>
      </x:c>
    </x:row>
    <x:row r="4" ht="25" customHeight="1">
      <x:c r="A4" s="11" t="str">
        <x:v>Pos Rank</x:v>
      </x:c>
      <x:c r="B4" s="11" t="str">
        <x:v>Decision</x:v>
      </x:c>
      <x:c r="C4" s="11" t="str">
        <x:v>Independent</x:v>
      </x:c>
      <x:c r="D4" s="11" t="str">
        <x:v>ADP</x:v>
      </x:c>
      <x:c r="E4" s="11" t="str">
        <x:v>Draft Gap</x:v>
      </x:c>
      <x:c r="F4" s="11" t="str">
        <x:v>Ind Gap</x:v>
      </x:c>
      <x:c r="G4" s="11" t="str">
        <x:v>Player</x:v>
      </x:c>
      <x:c r="H4" s="11" t="str">
        <x:v>Team</x:v>
      </x:c>
      <x:c r="I4" s="11" t="str">
        <x:v>Bye</x:v>
      </x:c>
      <x:c r="J4" s="11" t="str">
        <x:v>Our 17G</x:v>
      </x:c>
      <x:c r="K4" s="11" t="str">
        <x:v>Sleeper</x:v>
      </x:c>
      <x:c r="L4" s="11" t="str">
        <x:v>Proj Gap</x:v>
      </x:c>
      <x:c r="M4" s="11" t="str">
        <x:v>Decision Pts</x:v>
      </x:c>
      <x:c r="N4" s="11" t="str">
        <x:v>Exp G</x:v>
      </x:c>
      <x:c r="O4" s="11" t="str">
        <x:v>VBD</x:v>
      </x:c>
      <x:c r="P4" s="11" t="str">
        <x:v>Confidence</x:v>
      </x:c>
      <x:c r="Q4" s="11" t="str">
        <x:v>Pass Rank</x:v>
      </x:c>
      <x:c r="R4" s="11" t="str">
        <x:v>Rush Rank</x:v>
      </x:c>
      <x:c r="S4" s="11" t="str">
        <x:v>Own Targets</x:v>
      </x:c>
      <x:c r="T4" s="11" t="str">
        <x:v>Sleeper Targets</x:v>
      </x:c>
      <x:c r="U4" s="11" t="str">
        <x:v>Own Carries</x:v>
      </x:c>
      <x:c r="V4" s="11" t="str">
        <x:v>Sleeper Carries</x:v>
      </x:c>
      <x:c r="W4" s="11" t="str">
        <x:v>2025 PPG</x:v>
      </x:c>
      <x:c r="X4" s="11" t="str">
        <x:v>2025 G</x:v>
      </x:c>
      <x:c r="Y4" s="11" t="str">
        <x:v>Injury</x:v>
      </x:c>
      <x:c r="Z4" s="11" t="str">
        <x:v>Why</x:v>
      </x:c>
    </x:row>
    <x:row r="5" ht="19" customHeight="1">
      <x:c r="A5" s="13" t="n">
        <x:v>1</x:v>
      </x:c>
      <x:c r="B5" s="13" t="n">
        <x:v>2</x:v>
      </x:c>
      <x:c r="C5" s="13" t="n">
        <x:v>1</x:v>
      </x:c>
      <x:c r="D5" s="12" t="n">
        <x:v>4.4</x:v>
      </x:c>
      <x:c r="E5" s="12" t="n">
        <x:v>2.4</x:v>
      </x:c>
      <x:c r="F5" s="12" t="n">
        <x:v>3.4</x:v>
      </x:c>
      <x:c r="G5" s="11" t="str">
        <x:v>Puka Nacua</x:v>
      </x:c>
      <x:c r="H5" s="11" t="str">
        <x:v>LAR</x:v>
      </x:c>
      <x:c r="I5" s="13" t="n">
        <x:v>11</x:v>
      </x:c>
      <x:c r="J5" s="12" t="n">
        <x:v>341.2</x:v>
      </x:c>
      <x:c r="K5" s="12" t="n">
        <x:v>313</x:v>
      </x:c>
      <x:c r="L5" s="12" t="n">
        <x:v>28.2</x:v>
      </x:c>
      <x:c r="M5" s="12" t="n">
        <x:v>331.3</x:v>
      </x:c>
      <x:c r="N5" s="12" t="n">
        <x:v>16.2</x:v>
      </x:c>
      <x:c r="O5" s="12" t="n">
        <x:v>142.5</x:v>
      </x:c>
      <x:c r="P5" s="11" t="str">
        <x:v>High</x:v>
      </x:c>
      <x:c r="Q5" s="13" t="n">
        <x:v>7</x:v>
      </x:c>
      <x:c r="R5" s="13" t="n">
        <x:v>14</x:v>
      </x:c>
      <x:c r="S5" s="12" t="n">
        <x:v>177.5</x:v>
      </x:c>
      <x:c r="T5" s="12"/>
      <x:c r="U5" s="12" t="n">
        <x:v>10.7</x:v>
      </x:c>
      <x:c r="V5" s="12" t="n">
        <x:v>10</x:v>
      </x:c>
      <x:c r="W5" s="12" t="n">
        <x:v>23.4</x:v>
      </x:c>
      <x:c r="X5" s="13" t="n">
        <x:v>16</x:v>
      </x:c>
      <x:c r="Y5" s="11" t="str">
        <x:v>Ques</x:v>
      </x:c>
      <x:c r="Z5" s="11" t="str">
        <x:v>Veteran model: 2025 form, prior-year trend and same team pass/run forecast; team pass volume #7, rush volume #14</x:v>
      </x:c>
    </x:row>
    <x:row r="6" ht="19" customHeight="1">
      <x:c r="A6" s="13" t="n">
        <x:v>2</x:v>
      </x:c>
      <x:c r="B6" s="13" t="n">
        <x:v>5</x:v>
      </x:c>
      <x:c r="C6" s="13" t="n">
        <x:v>4</x:v>
      </x:c>
      <x:c r="D6" s="12" t="n">
        <x:v>3.8</x:v>
      </x:c>
      <x:c r="E6" s="12" t="n">
        <x:v>-1.2</x:v>
      </x:c>
      <x:c r="F6" s="12" t="n">
        <x:v>-0.2</x:v>
      </x:c>
      <x:c r="G6" s="11" t="str">
        <x:v>Ja'Marr Chase</x:v>
      </x:c>
      <x:c r="H6" s="11" t="str">
        <x:v>CIN</x:v>
      </x:c>
      <x:c r="I6" s="13" t="n">
        <x:v>6</x:v>
      </x:c>
      <x:c r="J6" s="12" t="n">
        <x:v>327.5</x:v>
      </x:c>
      <x:c r="K6" s="12" t="n">
        <x:v>311</x:v>
      </x:c>
      <x:c r="L6" s="12" t="n">
        <x:v>16.5</x:v>
      </x:c>
      <x:c r="M6" s="12" t="n">
        <x:v>321.7</x:v>
      </x:c>
      <x:c r="N6" s="12" t="n">
        <x:v>15.2</x:v>
      </x:c>
      <x:c r="O6" s="12" t="n">
        <x:v>125.1</x:v>
      </x:c>
      <x:c r="P6" s="11" t="str">
        <x:v>High</x:v>
      </x:c>
      <x:c r="Q6" s="13" t="n">
        <x:v>1</x:v>
      </x:c>
      <x:c r="R6" s="13" t="n">
        <x:v>31</x:v>
      </x:c>
      <x:c r="S6" s="12" t="n">
        <x:v>179.9</x:v>
      </x:c>
      <x:c r="T6" s="12"/>
      <x:c r="U6" s="12" t="n">
        <x:v>3.9</x:v>
      </x:c>
      <x:c r="V6" s="12" t="n">
        <x:v>3</x:v>
      </x:c>
      <x:c r="W6" s="12" t="n">
        <x:v>19.6</x:v>
      </x:c>
      <x:c r="X6" s="13" t="n">
        <x:v>16</x:v>
      </x:c>
      <x:c r="Y6" s="11"/>
      <x:c r="Z6" s="11" t="str">
        <x:v>Veteran model: 2025 form, prior-year trend and same team pass/run forecast; team pass volume #1, rush volume #31</x:v>
      </x:c>
    </x:row>
    <x:row r="7" ht="19" customHeight="1">
      <x:c r="A7" s="13" t="n">
        <x:v>3</x:v>
      </x:c>
      <x:c r="B7" s="13" t="n">
        <x:v>4</x:v>
      </x:c>
      <x:c r="C7" s="13" t="n">
        <x:v>2</x:v>
      </x:c>
      <x:c r="D7" s="12" t="n">
        <x:v>6.1</x:v>
      </x:c>
      <x:c r="E7" s="12" t="n">
        <x:v>2.1</x:v>
      </x:c>
      <x:c r="F7" s="12" t="n">
        <x:v>4.1</x:v>
      </x:c>
      <x:c r="G7" s="11" t="str">
        <x:v>Jaxon Smith-Njigba</x:v>
      </x:c>
      <x:c r="H7" s="11" t="str">
        <x:v>SEA</x:v>
      </x:c>
      <x:c r="I7" s="13" t="n">
        <x:v>11</x:v>
      </x:c>
      <x:c r="J7" s="12" t="n">
        <x:v>335.5</x:v>
      </x:c>
      <x:c r="K7" s="12" t="n">
        <x:v>285</x:v>
      </x:c>
      <x:c r="L7" s="12" t="n">
        <x:v>50.5</x:v>
      </x:c>
      <x:c r="M7" s="12" t="n">
        <x:v>317.8</x:v>
      </x:c>
      <x:c r="N7" s="12" t="n">
        <x:v>16.2</x:v>
      </x:c>
      <x:c r="O7" s="12" t="n">
        <x:v>129.6</x:v>
      </x:c>
      <x:c r="P7" s="11" t="str">
        <x:v>High</x:v>
      </x:c>
      <x:c r="Q7" s="13" t="n">
        <x:v>23</x:v>
      </x:c>
      <x:c r="R7" s="13" t="n">
        <x:v>21</x:v>
      </x:c>
      <x:c r="S7" s="12" t="n">
        <x:v>180</x:v>
      </x:c>
      <x:c r="T7" s="12"/>
      <x:c r="U7" s="12" t="n">
        <x:v>5</x:v>
      </x:c>
      <x:c r="V7" s="12" t="n">
        <x:v>6</x:v>
      </x:c>
      <x:c r="W7" s="12" t="n">
        <x:v>21.2</x:v>
      </x:c>
      <x:c r="X7" s="13" t="n">
        <x:v>17</x:v>
      </x:c>
      <x:c r="Y7" s="11"/>
      <x:c r="Z7" s="11" t="str">
        <x:v>Veteran model: 2025 form, prior-year trend and same team pass/run forecast; team pass volume #23, rush volume #21</x:v>
      </x:c>
    </x:row>
    <x:row r="8" ht="19" customHeight="1">
      <x:c r="A8" s="13" t="n">
        <x:v>4</x:v>
      </x:c>
      <x:c r="B8" s="13" t="n">
        <x:v>7</x:v>
      </x:c>
      <x:c r="C8" s="13" t="n">
        <x:v>7</x:v>
      </x:c>
      <x:c r="D8" s="12" t="n">
        <x:v>8.4</x:v>
      </x:c>
      <x:c r="E8" s="12" t="n">
        <x:v>1.4</x:v>
      </x:c>
      <x:c r="F8" s="12" t="n">
        <x:v>1.4</x:v>
      </x:c>
      <x:c r="G8" s="11" t="str">
        <x:v>Amon-Ra St. Brown</x:v>
      </x:c>
      <x:c r="H8" s="11" t="str">
        <x:v>DET</x:v>
      </x:c>
      <x:c r="I8" s="13" t="n">
        <x:v>6</x:v>
      </x:c>
      <x:c r="J8" s="12" t="n">
        <x:v>296.5</x:v>
      </x:c>
      <x:c r="K8" s="12" t="n">
        <x:v>281</x:v>
      </x:c>
      <x:c r="L8" s="12" t="n">
        <x:v>15.5</x:v>
      </x:c>
      <x:c r="M8" s="12" t="n">
        <x:v>291.1</x:v>
      </x:c>
      <x:c r="N8" s="12" t="n">
        <x:v>16</x:v>
      </x:c>
      <x:c r="O8" s="12" t="n">
        <x:v>102.9</x:v>
      </x:c>
      <x:c r="P8" s="11" t="str">
        <x:v>High</x:v>
      </x:c>
      <x:c r="Q8" s="13" t="n">
        <x:v>10</x:v>
      </x:c>
      <x:c r="R8" s="13" t="n">
        <x:v>7</x:v>
      </x:c>
      <x:c r="S8" s="12" t="n">
        <x:v>159.8</x:v>
      </x:c>
      <x:c r="T8" s="12"/>
      <x:c r="U8" s="12" t="n">
        <x:v>3.1</x:v>
      </x:c>
      <x:c r="V8" s="12" t="n">
        <x:v>3</x:v>
      </x:c>
      <x:c r="W8" s="12" t="n">
        <x:v>19.1</x:v>
      </x:c>
      <x:c r="X8" s="13" t="n">
        <x:v>17</x:v>
      </x:c>
      <x:c r="Y8" s="11"/>
      <x:c r="Z8" s="11" t="str">
        <x:v>Veteran model: 2025 form, prior-year trend and same team pass/run forecast; team pass volume #10, rush volume #7</x:v>
      </x:c>
    </x:row>
    <x:row r="9" ht="19" customHeight="1">
      <x:c r="A9" s="13" t="n">
        <x:v>5</x:v>
      </x:c>
      <x:c r="B9" s="13" t="n">
        <x:v>14</x:v>
      </x:c>
      <x:c r="C9" s="13" t="n">
        <x:v>13</x:v>
      </x:c>
      <x:c r="D9" s="12" t="n">
        <x:v>16.1</x:v>
      </x:c>
      <x:c r="E9" s="12" t="n">
        <x:v>2.1</x:v>
      </x:c>
      <x:c r="F9" s="12" t="n">
        <x:v>3.1</x:v>
      </x:c>
      <x:c r="G9" s="11" t="str">
        <x:v>Drake London</x:v>
      </x:c>
      <x:c r="H9" s="11" t="str">
        <x:v>ATL</x:v>
      </x:c>
      <x:c r="I9" s="13" t="n">
        <x:v>11</x:v>
      </x:c>
      <x:c r="J9" s="12" t="n">
        <x:v>266</x:v>
      </x:c>
      <x:c r="K9" s="12" t="n">
        <x:v>250</x:v>
      </x:c>
      <x:c r="L9" s="12" t="n">
        <x:v>16</x:v>
      </x:c>
      <x:c r="M9" s="12" t="n">
        <x:v>260.4</x:v>
      </x:c>
      <x:c r="N9" s="12" t="n">
        <x:v>13.5</x:v>
      </x:c>
      <x:c r="O9" s="12" t="n">
        <x:v>62.4</x:v>
      </x:c>
      <x:c r="P9" s="11" t="str">
        <x:v>High</x:v>
      </x:c>
      <x:c r="Q9" s="13" t="n">
        <x:v>17</x:v>
      </x:c>
      <x:c r="R9" s="13" t="n">
        <x:v>5</x:v>
      </x:c>
      <x:c r="S9" s="12" t="n">
        <x:v>148.3</x:v>
      </x:c>
      <x:c r="T9" s="12"/>
      <x:c r="U9" s="12" t="n">
        <x:v>1.2</x:v>
      </x:c>
      <x:c r="V9" s="12" t="n">
        <x:v>1</x:v>
      </x:c>
      <x:c r="W9" s="12" t="n">
        <x:v>16.8</x:v>
      </x:c>
      <x:c r="X9" s="13" t="n">
        <x:v>12</x:v>
      </x:c>
      <x:c r="Y9" s="11"/>
      <x:c r="Z9" s="11" t="str">
        <x:v>Veteran model: 2025 form, prior-year trend and same team pass/run forecast; team pass volume #17, rush volume #5</x:v>
      </x:c>
    </x:row>
    <x:row r="10" ht="19" customHeight="1">
      <x:c r="A10" s="13" t="n">
        <x:v>6</x:v>
      </x:c>
      <x:c r="B10" s="13" t="n">
        <x:v>13</x:v>
      </x:c>
      <x:c r="C10" s="13" t="n">
        <x:v>12</x:v>
      </x:c>
      <x:c r="D10" s="12" t="n">
        <x:v>23.3</x:v>
      </x:c>
      <x:c r="E10" s="12" t="n">
        <x:v>10.3</x:v>
      </x:c>
      <x:c r="F10" s="12" t="n">
        <x:v>11.3</x:v>
      </x:c>
      <x:c r="G10" s="11" t="str">
        <x:v>George Pickens</x:v>
      </x:c>
      <x:c r="H10" s="11" t="str">
        <x:v>DAL</x:v>
      </x:c>
      <x:c r="I10" s="13" t="n">
        <x:v>14</x:v>
      </x:c>
      <x:c r="J10" s="12" t="n">
        <x:v>261.3</x:v>
      </x:c>
      <x:c r="K10" s="12" t="n">
        <x:v>246</x:v>
      </x:c>
      <x:c r="L10" s="12" t="n">
        <x:v>15.3</x:v>
      </x:c>
      <x:c r="M10" s="12" t="n">
        <x:v>255.9</x:v>
      </x:c>
      <x:c r="N10" s="12" t="n">
        <x:v>14.6</x:v>
      </x:c>
      <x:c r="O10" s="12" t="n">
        <x:v>63.6</x:v>
      </x:c>
      <x:c r="P10" s="11" t="str">
        <x:v>High</x:v>
      </x:c>
      <x:c r="Q10" s="13" t="n">
        <x:v>2</x:v>
      </x:c>
      <x:c r="R10" s="13" t="n">
        <x:v>20</x:v>
      </x:c>
      <x:c r="S10" s="12" t="n">
        <x:v>142.3</x:v>
      </x:c>
      <x:c r="T10" s="12"/>
      <x:c r="U10" s="12" t="n">
        <x:v>1.7</x:v>
      </x:c>
      <x:c r="V10" s="12" t="n">
        <x:v>1</x:v>
      </x:c>
      <x:c r="W10" s="12" t="n">
        <x:v>17.2</x:v>
      </x:c>
      <x:c r="X10" s="13" t="n">
        <x:v>17</x:v>
      </x:c>
      <x:c r="Y10" s="11"/>
      <x:c r="Z10" s="11" t="str">
        <x:v>Veteran model: 2025 form, prior-year trend and same team pass/run forecast; team pass volume #2, rush volume #20</x:v>
      </x:c>
    </x:row>
    <x:row r="11" ht="19" customHeight="1">
      <x:c r="A11" s="13" t="n">
        <x:v>7</x:v>
      </x:c>
      <x:c r="B11" s="13" t="n">
        <x:v>18</x:v>
      </x:c>
      <x:c r="C11" s="13" t="n">
        <x:v>20</x:v>
      </x:c>
      <x:c r="D11" s="12" t="n">
        <x:v>9.5</x:v>
      </x:c>
      <x:c r="E11" s="12" t="n">
        <x:v>-8.5</x:v>
      </x:c>
      <x:c r="F11" s="12" t="n">
        <x:v>-10.5</x:v>
      </x:c>
      <x:c r="G11" s="11" t="str">
        <x:v>CeeDee Lamb</x:v>
      </x:c>
      <x:c r="H11" s="11" t="str">
        <x:v>DAL</x:v>
      </x:c>
      <x:c r="I11" s="13" t="n">
        <x:v>14</x:v>
      </x:c>
      <x:c r="J11" s="12" t="n">
        <x:v>247.2</x:v>
      </x:c>
      <x:c r="K11" s="12" t="n">
        <x:v>271</x:v>
      </x:c>
      <x:c r="L11" s="12" t="n">
        <x:v>-23.8</x:v>
      </x:c>
      <x:c r="M11" s="12" t="n">
        <x:v>255.6</x:v>
      </x:c>
      <x:c r="N11" s="12" t="n">
        <x:v>12.5</x:v>
      </x:c>
      <x:c r="O11" s="12" t="n">
        <x:v>54.3</x:v>
      </x:c>
      <x:c r="P11" s="11" t="str">
        <x:v>High</x:v>
      </x:c>
      <x:c r="Q11" s="13" t="n">
        <x:v>2</x:v>
      </x:c>
      <x:c r="R11" s="13" t="n">
        <x:v>20</x:v>
      </x:c>
      <x:c r="S11" s="12" t="n">
        <x:v>135.3</x:v>
      </x:c>
      <x:c r="T11" s="12"/>
      <x:c r="U11" s="12" t="n">
        <x:v>4.4</x:v>
      </x:c>
      <x:c r="V11" s="12" t="n">
        <x:v>3</x:v>
      </x:c>
      <x:c r="W11" s="12" t="n">
        <x:v>14.3</x:v>
      </x:c>
      <x:c r="X11" s="13" t="n">
        <x:v>14</x:v>
      </x:c>
      <x:c r="Y11" s="11"/>
      <x:c r="Z11" s="11" t="str">
        <x:v>Veteran model: 2025 form, prior-year trend and same team pass/run forecast; team pass volume #2, rush volume #20</x:v>
      </x:c>
    </x:row>
    <x:row r="12" ht="19" customHeight="1">
      <x:c r="A12" s="13" t="n">
        <x:v>8</x:v>
      </x:c>
      <x:c r="B12" s="13" t="n">
        <x:v>16</x:v>
      </x:c>
      <x:c r="C12" s="13" t="n">
        <x:v>14</x:v>
      </x:c>
      <x:c r="D12" s="12" t="n">
        <x:v>30.3</x:v>
      </x:c>
      <x:c r="E12" s="12" t="n">
        <x:v>14.3</x:v>
      </x:c>
      <x:c r="F12" s="12" t="n">
        <x:v>16.3</x:v>
      </x:c>
      <x:c r="G12" s="11" t="str">
        <x:v>Chris Olave</x:v>
      </x:c>
      <x:c r="H12" s="11" t="str">
        <x:v>NO</x:v>
      </x:c>
      <x:c r="I12" s="13" t="n">
        <x:v>8</x:v>
      </x:c>
      <x:c r="J12" s="12" t="n">
        <x:v>256.8</x:v>
      </x:c>
      <x:c r="K12" s="12" t="n">
        <x:v>236</x:v>
      </x:c>
      <x:c r="L12" s="12" t="n">
        <x:v>20.8</x:v>
      </x:c>
      <x:c r="M12" s="12" t="n">
        <x:v>249.5</x:v>
      </x:c>
      <x:c r="N12" s="12" t="n">
        <x:v>14.4</x:v>
      </x:c>
      <x:c r="O12" s="12" t="n">
        <x:v>57.3</x:v>
      </x:c>
      <x:c r="P12" s="11" t="str">
        <x:v>High</x:v>
      </x:c>
      <x:c r="Q12" s="13" t="n">
        <x:v>8</x:v>
      </x:c>
      <x:c r="R12" s="13" t="n">
        <x:v>22</x:v>
      </x:c>
      <x:c r="S12" s="12" t="n">
        <x:v>146.4</x:v>
      </x:c>
      <x:c r="T12" s="12"/>
      <x:c r="U12" s="12" t="n">
        <x:v>2.8</x:v>
      </x:c>
      <x:c r="V12" s="12" t="n">
        <x:v>1</x:v>
      </x:c>
      <x:c r="W12" s="12" t="n">
        <x:v>16.8</x:v>
      </x:c>
      <x:c r="X12" s="13" t="n">
        <x:v>16</x:v>
      </x:c>
      <x:c r="Y12" s="11"/>
      <x:c r="Z12" s="11" t="str">
        <x:v>Veteran model: 2025 form, prior-year trend and same team pass/run forecast; team pass volume #8, rush volume #22</x:v>
      </x:c>
    </x:row>
    <x:row r="13" ht="19" customHeight="1">
      <x:c r="A13" s="13" t="n">
        <x:v>9</x:v>
      </x:c>
      <x:c r="B13" s="13" t="n">
        <x:v>23</x:v>
      </x:c>
      <x:c r="C13" s="13" t="n">
        <x:v>22</x:v>
      </x:c>
      <x:c r="D13" s="12" t="n">
        <x:v>11.2</x:v>
      </x:c>
      <x:c r="E13" s="12" t="n">
        <x:v>-11.8</x:v>
      </x:c>
      <x:c r="F13" s="12" t="n">
        <x:v>-10.8</x:v>
      </x:c>
      <x:c r="G13" s="11" t="str">
        <x:v>Justin Jefferson</x:v>
      </x:c>
      <x:c r="H13" s="11" t="str">
        <x:v>MIN</x:v>
      </x:c>
      <x:c r="I13" s="13" t="n">
        <x:v>6</x:v>
      </x:c>
      <x:c r="J13" s="12" t="n">
        <x:v>238.1</x:v>
      </x:c>
      <x:c r="K13" s="12" t="n">
        <x:v>250</x:v>
      </x:c>
      <x:c r="L13" s="12" t="n">
        <x:v>-11.9</x:v>
      </x:c>
      <x:c r="M13" s="12" t="n">
        <x:v>242.3</x:v>
      </x:c>
      <x:c r="N13" s="12" t="n">
        <x:v>13.1</x:v>
      </x:c>
      <x:c r="O13" s="12" t="n">
        <x:v>46.6</x:v>
      </x:c>
      <x:c r="P13" s="11" t="str">
        <x:v>High</x:v>
      </x:c>
      <x:c r="Q13" s="13" t="n">
        <x:v>26</x:v>
      </x:c>
      <x:c r="R13" s="13" t="n">
        <x:v>27</x:v>
      </x:c>
      <x:c r="S13" s="12" t="n">
        <x:v>134.1</x:v>
      </x:c>
      <x:c r="T13" s="12"/>
      <x:c r="U13" s="12" t="n">
        <x:v>2.3</x:v>
      </x:c>
      <x:c r="V13" s="12" t="n">
        <x:v>1</x:v>
      </x:c>
      <x:c r="W13" s="12" t="n">
        <x:v>11.9</x:v>
      </x:c>
      <x:c r="X13" s="13" t="n">
        <x:v>17</x:v>
      </x:c>
      <x:c r="Y13" s="11"/>
      <x:c r="Z13" s="11" t="str">
        <x:v>Veteran model: 2025 form, prior-year trend and same team pass/run forecast; team pass volume #26, rush volume #27</x:v>
      </x:c>
    </x:row>
    <x:row r="14" ht="19" customHeight="1">
      <x:c r="A14" s="13" t="n">
        <x:v>10</x:v>
      </x:c>
      <x:c r="B14" s="13" t="n">
        <x:v>22</x:v>
      </x:c>
      <x:c r="C14" s="13" t="n">
        <x:v>25</x:v>
      </x:c>
      <x:c r="D14" s="12" t="n">
        <x:v>25.7</x:v>
      </x:c>
      <x:c r="E14" s="12" t="n">
        <x:v>3.7</x:v>
      </x:c>
      <x:c r="F14" s="12" t="n">
        <x:v>0.7</x:v>
      </x:c>
      <x:c r="G14" s="11" t="str">
        <x:v>Nico Collins</x:v>
      </x:c>
      <x:c r="H14" s="11" t="str">
        <x:v>HOU</x:v>
      </x:c>
      <x:c r="I14" s="13" t="n">
        <x:v>8</x:v>
      </x:c>
      <x:c r="J14" s="12" t="n">
        <x:v>229.1</x:v>
      </x:c>
      <x:c r="K14" s="12" t="n">
        <x:v>262</x:v>
      </x:c>
      <x:c r="L14" s="12" t="n">
        <x:v>-32.9</x:v>
      </x:c>
      <x:c r="M14" s="12" t="n">
        <x:v>240.6</x:v>
      </x:c>
      <x:c r="N14" s="12" t="n">
        <x:v>13.8</x:v>
      </x:c>
      <x:c r="O14" s="12" t="n">
        <x:v>47.7</x:v>
      </x:c>
      <x:c r="P14" s="11" t="str">
        <x:v>High</x:v>
      </x:c>
      <x:c r="Q14" s="13" t="n">
        <x:v>9</x:v>
      </x:c>
      <x:c r="R14" s="13" t="n">
        <x:v>17</x:v>
      </x:c>
      <x:c r="S14" s="12" t="n">
        <x:v>121.9</x:v>
      </x:c>
      <x:c r="T14" s="12"/>
      <x:c r="U14" s="12" t="n">
        <x:v>2.3</x:v>
      </x:c>
      <x:c r="V14" s="12" t="n">
        <x:v>3</x:v>
      </x:c>
      <x:c r="W14" s="12" t="n">
        <x:v>15.1</x:v>
      </x:c>
      <x:c r="X14" s="13" t="n">
        <x:v>15</x:v>
      </x:c>
      <x:c r="Y14" s="11"/>
      <x:c r="Z14" s="11" t="str">
        <x:v>Veteran model: 2025 form, prior-year trend and same team pass/run forecast; team pass volume #9, rush volume #17</x:v>
      </x:c>
    </x:row>
    <x:row r="15" ht="19" customHeight="1">
      <x:c r="A15" s="13" t="n">
        <x:v>11</x:v>
      </x:c>
      <x:c r="B15" s="13" t="n">
        <x:v>21</x:v>
      </x:c>
      <x:c r="C15" s="13" t="n">
        <x:v>18</x:v>
      </x:c>
      <x:c r="D15" s="12" t="n">
        <x:v>41.1</x:v>
      </x:c>
      <x:c r="E15" s="12" t="n">
        <x:v>20.1</x:v>
      </x:c>
      <x:c r="F15" s="12" t="n">
        <x:v>23.1</x:v>
      </x:c>
      <x:c r="G15" s="11" t="str">
        <x:v>Zay Flowers</x:v>
      </x:c>
      <x:c r="H15" s="11" t="str">
        <x:v>BAL</x:v>
      </x:c>
      <x:c r="I15" s="13" t="n">
        <x:v>13</x:v>
      </x:c>
      <x:c r="J15" s="12" t="n">
        <x:v>237.8</x:v>
      </x:c>
      <x:c r="K15" s="12" t="n">
        <x:v>228</x:v>
      </x:c>
      <x:c r="L15" s="12" t="n">
        <x:v>9.8</x:v>
      </x:c>
      <x:c r="M15" s="12" t="n">
        <x:v>234.4</x:v>
      </x:c>
      <x:c r="N15" s="12" t="n">
        <x:v>15.6</x:v>
      </x:c>
      <x:c r="O15" s="12" t="n">
        <x:v>48.3</x:v>
      </x:c>
      <x:c r="P15" s="11" t="str">
        <x:v>High</x:v>
      </x:c>
      <x:c r="Q15" s="13" t="n">
        <x:v>32</x:v>
      </x:c>
      <x:c r="R15" s="13" t="n">
        <x:v>1</x:v>
      </x:c>
      <x:c r="S15" s="12" t="n">
        <x:v>125.7</x:v>
      </x:c>
      <x:c r="T15" s="12"/>
      <x:c r="U15" s="12" t="n">
        <x:v>7.5</x:v>
      </x:c>
      <x:c r="V15" s="12" t="n">
        <x:v>5</x:v>
      </x:c>
      <x:c r="W15" s="12" t="n">
        <x:v>14.3</x:v>
      </x:c>
      <x:c r="X15" s="13" t="n">
        <x:v>17</x:v>
      </x:c>
      <x:c r="Y15" s="11"/>
      <x:c r="Z15" s="11" t="str">
        <x:v>Veteran model: 2025 form, prior-year trend and same team pass/run forecast; team pass volume #32, rush volume #1</x:v>
      </x:c>
    </x:row>
    <x:row r="16" ht="19" customHeight="1">
      <x:c r="A16" s="13" t="n">
        <x:v>12</x:v>
      </x:c>
      <x:c r="B16" s="13" t="n">
        <x:v>25</x:v>
      </x:c>
      <x:c r="C16" s="13" t="n">
        <x:v>27</x:v>
      </x:c>
      <x:c r="D16" s="12" t="n">
        <x:v>18.3</x:v>
      </x:c>
      <x:c r="E16" s="12" t="n">
        <x:v>-6.7</x:v>
      </x:c>
      <x:c r="F16" s="12" t="n">
        <x:v>-8.7</x:v>
      </x:c>
      <x:c r="G16" s="11" t="str">
        <x:v>A.J. Brown</x:v>
      </x:c>
      <x:c r="H16" s="11" t="str">
        <x:v>NE</x:v>
      </x:c>
      <x:c r="I16" s="13" t="n">
        <x:v>11</x:v>
      </x:c>
      <x:c r="J16" s="12" t="n">
        <x:v>225</x:v>
      </x:c>
      <x:c r="K16" s="12" t="n">
        <x:v>247</x:v>
      </x:c>
      <x:c r="L16" s="12" t="n">
        <x:v>-22</x:v>
      </x:c>
      <x:c r="M16" s="12" t="n">
        <x:v>232.7</x:v>
      </x:c>
      <x:c r="N16" s="12" t="n">
        <x:v>14</x:v>
      </x:c>
      <x:c r="O16" s="12" t="n">
        <x:v>41.9</x:v>
      </x:c>
      <x:c r="P16" s="11" t="str">
        <x:v>High</x:v>
      </x:c>
      <x:c r="Q16" s="13" t="n">
        <x:v>27</x:v>
      </x:c>
      <x:c r="R16" s="13" t="n">
        <x:v>12</x:v>
      </x:c>
      <x:c r="S16" s="12" t="n">
        <x:v>126.4</x:v>
      </x:c>
      <x:c r="T16" s="12"/>
      <x:c r="U16" s="12" t="n">
        <x:v>0.5</x:v>
      </x:c>
      <x:c r="V16" s="12" t="n">
        <x:v>1</x:v>
      </x:c>
      <x:c r="W16" s="12" t="n">
        <x:v>14.7</x:v>
      </x:c>
      <x:c r="X16" s="13" t="n">
        <x:v>15</x:v>
      </x:c>
      <x:c r="Y16" s="11"/>
      <x:c r="Z16" s="11" t="str">
        <x:v>Veteran model: 2025 form, prior-year trend and new team pass/run forecast; team pass volume #27, rush volume #12</x:v>
      </x:c>
    </x:row>
    <x:row r="17" ht="19" customHeight="1">
      <x:c r="A17" s="13" t="n">
        <x:v>13</x:v>
      </x:c>
      <x:c r="B17" s="13" t="n">
        <x:v>34</x:v>
      </x:c>
      <x:c r="C17" s="13" t="n">
        <x:v>34</x:v>
      </x:c>
      <x:c r="D17" s="12" t="n">
        <x:v>27</x:v>
      </x:c>
      <x:c r="E17" s="12" t="n">
        <x:v>-7</x:v>
      </x:c>
      <x:c r="F17" s="12" t="n">
        <x:v>-7</x:v>
      </x:c>
      <x:c r="G17" s="11" t="str">
        <x:v>Rashee Rice</x:v>
      </x:c>
      <x:c r="H17" s="11" t="str">
        <x:v>KC</x:v>
      </x:c>
      <x:c r="I17" s="13" t="n">
        <x:v>5</x:v>
      </x:c>
      <x:c r="J17" s="12" t="n">
        <x:v>229.9</x:v>
      </x:c>
      <x:c r="K17" s="12" t="n">
        <x:v>229</x:v>
      </x:c>
      <x:c r="L17" s="12" t="n">
        <x:v>0.9</x:v>
      </x:c>
      <x:c r="M17" s="12" t="n">
        <x:v>229.5</x:v>
      </x:c>
      <x:c r="N17" s="12" t="n">
        <x:v>11.6</x:v>
      </x:c>
      <x:c r="O17" s="12" t="n">
        <x:v>32.5</x:v>
      </x:c>
      <x:c r="P17" s="11" t="str">
        <x:v>Medium</x:v>
      </x:c>
      <x:c r="Q17" s="13" t="n">
        <x:v>5</x:v>
      </x:c>
      <x:c r="R17" s="13" t="n">
        <x:v>25</x:v>
      </x:c>
      <x:c r="S17" s="12" t="n">
        <x:v>127.5</x:v>
      </x:c>
      <x:c r="T17" s="12"/>
      <x:c r="U17" s="12" t="n">
        <x:v>8</x:v>
      </x:c>
      <x:c r="V17" s="12" t="n">
        <x:v>6</x:v>
      </x:c>
      <x:c r="W17" s="12" t="n">
        <x:v>18.8</x:v>
      </x:c>
      <x:c r="X17" s="13" t="n">
        <x:v>8</x:v>
      </x:c>
      <x:c r="Y17" s="11"/>
      <x:c r="Z17" s="11" t="str">
        <x:v>Veteran model: 2025 form, prior-year trend and same team pass/run forecast; team pass volume #5, rush volume #25</x:v>
      </x:c>
    </x:row>
    <x:row r="18" ht="19" customHeight="1">
      <x:c r="A18" s="13" t="n">
        <x:v>14</x:v>
      </x:c>
      <x:c r="B18" s="13" t="n">
        <x:v>31</x:v>
      </x:c>
      <x:c r="C18" s="13" t="n">
        <x:v>33</x:v>
      </x:c>
      <x:c r="D18" s="12" t="n">
        <x:v>37.5</x:v>
      </x:c>
      <x:c r="E18" s="12" t="n">
        <x:v>6.5</x:v>
      </x:c>
      <x:c r="F18" s="12" t="n">
        <x:v>4.5</x:v>
      </x:c>
      <x:c r="G18" s="11" t="str">
        <x:v>DeVonta Smith</x:v>
      </x:c>
      <x:c r="H18" s="11" t="str">
        <x:v>PHI</x:v>
      </x:c>
      <x:c r="I18" s="13" t="n">
        <x:v>10</x:v>
      </x:c>
      <x:c r="J18" s="12" t="n">
        <x:v>224.8</x:v>
      </x:c>
      <x:c r="K18" s="12" t="n">
        <x:v>229</x:v>
      </x:c>
      <x:c r="L18" s="12" t="n">
        <x:v>-4.2</x:v>
      </x:c>
      <x:c r="M18" s="12" t="n">
        <x:v>226.3</x:v>
      </x:c>
      <x:c r="N18" s="12" t="n">
        <x:v>13.1</x:v>
      </x:c>
      <x:c r="O18" s="12" t="n">
        <x:v>34.3</x:v>
      </x:c>
      <x:c r="P18" s="11" t="str">
        <x:v>High</x:v>
      </x:c>
      <x:c r="Q18" s="13" t="n">
        <x:v>31</x:v>
      </x:c>
      <x:c r="R18" s="13" t="n">
        <x:v>2</x:v>
      </x:c>
      <x:c r="S18" s="12" t="n">
        <x:v>122.7</x:v>
      </x:c>
      <x:c r="T18" s="12"/>
      <x:c r="U18" s="12" t="n">
        <x:v>1.3</x:v>
      </x:c>
      <x:c r="V18" s="12" t="n">
        <x:v>1</x:v>
      </x:c>
      <x:c r="W18" s="12" t="n">
        <x:v>11.9</x:v>
      </x:c>
      <x:c r="X18" s="13" t="n">
        <x:v>17</x:v>
      </x:c>
      <x:c r="Y18" s="11" t="str">
        <x:v>Ques</x:v>
      </x:c>
      <x:c r="Z18" s="11" t="str">
        <x:v>Veteran model: 2025 form, prior-year trend and same team pass/run forecast; team pass volume #31, rush volume #2</x:v>
      </x:c>
    </x:row>
    <x:row r="19" ht="19" customHeight="1">
      <x:c r="A19" s="13" t="n">
        <x:v>15</x:v>
      </x:c>
      <x:c r="B19" s="13" t="n">
        <x:v>40</x:v>
      </x:c>
      <x:c r="C19" s="13" t="n">
        <x:v>40</x:v>
      </x:c>
      <x:c r="D19" s="12" t="n">
        <x:v>27.8</x:v>
      </x:c>
      <x:c r="E19" s="12" t="n">
        <x:v>-12.2</x:v>
      </x:c>
      <x:c r="F19" s="12" t="n">
        <x:v>-12.2</x:v>
      </x:c>
      <x:c r="G19" s="11" t="str">
        <x:v>Malik Nabers</x:v>
      </x:c>
      <x:c r="H19" s="11" t="str">
        <x:v>NYG</x:v>
      </x:c>
      <x:c r="I19" s="13" t="n">
        <x:v>8</x:v>
      </x:c>
      <x:c r="J19" s="12" t="n">
        <x:v>222</x:v>
      </x:c>
      <x:c r="K19" s="12" t="n">
        <x:v>227</x:v>
      </x:c>
      <x:c r="L19" s="12" t="n">
        <x:v>-5</x:v>
      </x:c>
      <x:c r="M19" s="12" t="n">
        <x:v>225.8</x:v>
      </x:c>
      <x:c r="N19" s="12" t="n">
        <x:v>10.4</x:v>
      </x:c>
      <x:c r="O19" s="12" t="n">
        <x:v>26.9</x:v>
      </x:c>
      <x:c r="P19" s="11" t="str">
        <x:v>Low</x:v>
      </x:c>
      <x:c r="Q19" s="13" t="n">
        <x:v>19</x:v>
      </x:c>
      <x:c r="R19" s="13" t="n">
        <x:v>10</x:v>
      </x:c>
      <x:c r="S19" s="12" t="n">
        <x:v>125.1</x:v>
      </x:c>
      <x:c r="T19" s="12"/>
      <x:c r="U19" s="12" t="n">
        <x:v>2</x:v>
      </x:c>
      <x:c r="V19" s="12" t="n">
        <x:v>3</x:v>
      </x:c>
      <x:c r="W19" s="12" t="n">
        <x:v>14.3</x:v>
      </x:c>
      <x:c r="X19" s="13" t="n">
        <x:v>4</x:v>
      </x:c>
      <x:c r="Y19" s="11" t="str">
        <x:v>Ques</x:v>
      </x:c>
      <x:c r="Z19" s="11" t="str">
        <x:v>Veteran model: 2025 form, prior-year trend and same team pass/run forecast; team pass volume #19, rush volume #10</x:v>
      </x:c>
    </x:row>
    <x:row r="20" ht="19" customHeight="1">
      <x:c r="A20" s="13" t="n">
        <x:v>16</x:v>
      </x:c>
      <x:c r="B20" s="13" t="n">
        <x:v>42</x:v>
      </x:c>
      <x:c r="C20" s="13" t="n">
        <x:v>41</x:v>
      </x:c>
      <x:c r="D20" s="12" t="n">
        <x:v>34.2</x:v>
      </x:c>
      <x:c r="E20" s="12" t="n">
        <x:v>-7.8</x:v>
      </x:c>
      <x:c r="F20" s="12" t="n">
        <x:v>-6.8</x:v>
      </x:c>
      <x:c r="G20" s="11" t="str">
        <x:v>Tee Higgins</x:v>
      </x:c>
      <x:c r="H20" s="11" t="str">
        <x:v>CIN</x:v>
      </x:c>
      <x:c r="I20" s="13" t="n">
        <x:v>6</x:v>
      </x:c>
      <x:c r="J20" s="12" t="n">
        <x:v>216.3</x:v>
      </x:c>
      <x:c r="K20" s="12" t="n">
        <x:v>224</x:v>
      </x:c>
      <x:c r="L20" s="12" t="n">
        <x:v>-7.7</x:v>
      </x:c>
      <x:c r="M20" s="12" t="n">
        <x:v>219</x:v>
      </x:c>
      <x:c r="N20" s="12" t="n">
        <x:v>12</x:v>
      </x:c>
      <x:c r="O20" s="12" t="n">
        <x:v>26.3</x:v>
      </x:c>
      <x:c r="P20" s="11" t="str">
        <x:v>High</x:v>
      </x:c>
      <x:c r="Q20" s="13" t="n">
        <x:v>1</x:v>
      </x:c>
      <x:c r="R20" s="13" t="n">
        <x:v>31</x:v>
      </x:c>
      <x:c r="S20" s="12" t="n">
        <x:v>120.7</x:v>
      </x:c>
      <x:c r="T20" s="12"/>
      <x:c r="U20" s="12" t="n">
        <x:v>1.1</x:v>
      </x:c>
      <x:c r="V20" s="12" t="n">
        <x:v>1</x:v>
      </x:c>
      <x:c r="W20" s="12" t="n">
        <x:v>14.1</x:v>
      </x:c>
      <x:c r="X20" s="13" t="n">
        <x:v>15</x:v>
      </x:c>
      <x:c r="Y20" s="11"/>
      <x:c r="Z20" s="11" t="str">
        <x:v>Veteran model: 2025 form, prior-year trend and same team pass/run forecast; team pass volume #1, rush volume #31</x:v>
      </x:c>
    </x:row>
    <x:row r="21" ht="19" customHeight="1">
      <x:c r="A21" s="13" t="n">
        <x:v>17</x:v>
      </x:c>
      <x:c r="B21" s="13" t="n">
        <x:v>37</x:v>
      </x:c>
      <x:c r="C21" s="13" t="n">
        <x:v>28</x:v>
      </x:c>
      <x:c r="D21" s="12" t="n">
        <x:v>57.3</x:v>
      </x:c>
      <x:c r="E21" s="12" t="n">
        <x:v>20.3</x:v>
      </x:c>
      <x:c r="F21" s="12" t="n">
        <x:v>29.3</x:v>
      </x:c>
      <x:c r="G21" s="11" t="str">
        <x:v>Jameson Williams</x:v>
      </x:c>
      <x:c r="H21" s="11" t="str">
        <x:v>DET</x:v>
      </x:c>
      <x:c r="I21" s="13" t="n">
        <x:v>6</x:v>
      </x:c>
      <x:c r="J21" s="12" t="n">
        <x:v>223.5</x:v>
      </x:c>
      <x:c r="K21" s="12" t="n">
        <x:v>206</x:v>
      </x:c>
      <x:c r="L21" s="12" t="n">
        <x:v>17.5</x:v>
      </x:c>
      <x:c r="M21" s="12" t="n">
        <x:v>217.4</x:v>
      </x:c>
      <x:c r="N21" s="12" t="n">
        <x:v>14.5</x:v>
      </x:c>
      <x:c r="O21" s="12" t="n">
        <x:v>30.4</x:v>
      </x:c>
      <x:c r="P21" s="11" t="str">
        <x:v>High</x:v>
      </x:c>
      <x:c r="Q21" s="13" t="n">
        <x:v>10</x:v>
      </x:c>
      <x:c r="R21" s="13" t="n">
        <x:v>7</x:v>
      </x:c>
      <x:c r="S21" s="12" t="n">
        <x:v>116.9</x:v>
      </x:c>
      <x:c r="T21" s="12"/>
      <x:c r="U21" s="12" t="n">
        <x:v>5.5</x:v>
      </x:c>
      <x:c r="V21" s="12" t="n">
        <x:v>8</x:v>
      </x:c>
      <x:c r="W21" s="12" t="n">
        <x:v>12.9</x:v>
      </x:c>
      <x:c r="X21" s="13" t="n">
        <x:v>17</x:v>
      </x:c>
      <x:c r="Y21" s="11"/>
      <x:c r="Z21" s="11" t="str">
        <x:v>Veteran model: 2025 form, prior-year trend and same team pass/run forecast; team pass volume #10, rush volume #7</x:v>
      </x:c>
    </x:row>
    <x:row r="22" ht="19" customHeight="1">
      <x:c r="A22" s="13" t="n">
        <x:v>18</x:v>
      </x:c>
      <x:c r="B22" s="13" t="n">
        <x:v>38</x:v>
      </x:c>
      <x:c r="C22" s="13" t="n">
        <x:v>42</x:v>
      </x:c>
      <x:c r="D22" s="12" t="n">
        <x:v>34.8</x:v>
      </x:c>
      <x:c r="E22" s="12" t="n">
        <x:v>-3.2</x:v>
      </x:c>
      <x:c r="F22" s="12" t="n">
        <x:v>-7.2</x:v>
      </x:c>
      <x:c r="G22" s="11" t="str">
        <x:v>Tetairoa McMillan</x:v>
      </x:c>
      <x:c r="H22" s="11" t="str">
        <x:v>CAR</x:v>
      </x:c>
      <x:c r="I22" s="13" t="n">
        <x:v>5</x:v>
      </x:c>
      <x:c r="J22" s="12" t="n">
        <x:v>210.6</x:v>
      </x:c>
      <x:c r="K22" s="12" t="n">
        <x:v>223</x:v>
      </x:c>
      <x:c r="L22" s="12" t="n">
        <x:v>-12.4</x:v>
      </x:c>
      <x:c r="M22" s="12" t="n">
        <x:v>216.8</x:v>
      </x:c>
      <x:c r="N22" s="12" t="n">
        <x:v>14.2</x:v>
      </x:c>
      <x:c r="O22" s="12" t="n">
        <x:v>29.2</x:v>
      </x:c>
      <x:c r="P22" s="11" t="str">
        <x:v>Medium</x:v>
      </x:c>
      <x:c r="Q22" s="13" t="n">
        <x:v>22</x:v>
      </x:c>
      <x:c r="R22" s="13" t="n">
        <x:v>23</x:v>
      </x:c>
      <x:c r="S22" s="12" t="n">
        <x:v>125</x:v>
      </x:c>
      <x:c r="T22" s="12"/>
      <x:c r="U22" s="12" t="n">
        <x:v>1.6</x:v>
      </x:c>
      <x:c r="V22" s="12" t="n">
        <x:v>1</x:v>
      </x:c>
      <x:c r="W22" s="12" t="n">
        <x:v>12.4</x:v>
      </x:c>
      <x:c r="X22" s="13" t="n">
        <x:v>17</x:v>
      </x:c>
      <x:c r="Y22" s="11"/>
      <x:c r="Z22" s="11" t="str">
        <x:v>Veteran model: 2025 form, prior-year trend and same team pass/run forecast; team pass volume #22, rush volume #23</x:v>
      </x:c>
    </x:row>
    <x:row r="23" ht="19" customHeight="1">
      <x:c r="A23" s="13" t="n">
        <x:v>19</x:v>
      </x:c>
      <x:c r="B23" s="13" t="n">
        <x:v>43</x:v>
      </x:c>
      <x:c r="C23" s="13" t="n">
        <x:v>44</x:v>
      </x:c>
      <x:c r="D23" s="12" t="n">
        <x:v>38.6</x:v>
      </x:c>
      <x:c r="E23" s="12" t="n">
        <x:v>-4.4</x:v>
      </x:c>
      <x:c r="F23" s="12" t="n">
        <x:v>-5.4</x:v>
      </x:c>
      <x:c r="G23" s="11" t="str">
        <x:v>Ladd McConkey</x:v>
      </x:c>
      <x:c r="H23" s="11" t="str">
        <x:v>LAC</x:v>
      </x:c>
      <x:c r="I23" s="13" t="n">
        <x:v>7</x:v>
      </x:c>
      <x:c r="J23" s="12" t="n">
        <x:v>209.4</x:v>
      </x:c>
      <x:c r="K23" s="12" t="n">
        <x:v>228</x:v>
      </x:c>
      <x:c r="L23" s="12" t="n">
        <x:v>-18.6</x:v>
      </x:c>
      <x:c r="M23" s="12" t="n">
        <x:v>215.9</x:v>
      </x:c>
      <x:c r="N23" s="12" t="n">
        <x:v>12.9</x:v>
      </x:c>
      <x:c r="O23" s="12" t="n">
        <x:v>25.9</x:v>
      </x:c>
      <x:c r="P23" s="11" t="str">
        <x:v>High</x:v>
      </x:c>
      <x:c r="Q23" s="13" t="n">
        <x:v>14</x:v>
      </x:c>
      <x:c r="R23" s="13" t="n">
        <x:v>16</x:v>
      </x:c>
      <x:c r="S23" s="12" t="n">
        <x:v>115.4</x:v>
      </x:c>
      <x:c r="T23" s="12"/>
      <x:c r="U23" s="12" t="n">
        <x:v>1.5</x:v>
      </x:c>
      <x:c r="V23" s="12" t="n">
        <x:v>2</x:v>
      </x:c>
      <x:c r="W23" s="12" t="n">
        <x:v>11.3</x:v>
      </x:c>
      <x:c r="X23" s="13" t="n">
        <x:v>16</x:v>
      </x:c>
      <x:c r="Y23" s="11"/>
      <x:c r="Z23" s="11" t="str">
        <x:v>Veteran model: 2025 form, prior-year trend and same team pass/run forecast; team pass volume #14, rush volume #16</x:v>
      </x:c>
    </x:row>
    <x:row r="24" ht="19" customHeight="1">
      <x:c r="A24" s="13" t="n">
        <x:v>20</x:v>
      </x:c>
      <x:c r="B24" s="13" t="n">
        <x:v>49</x:v>
      </x:c>
      <x:c r="C24" s="13" t="n">
        <x:v>59</x:v>
      </x:c>
      <x:c r="D24" s="12" t="n">
        <x:v>45.8</x:v>
      </x:c>
      <x:c r="E24" s="12" t="n">
        <x:v>-3.2</x:v>
      </x:c>
      <x:c r="F24" s="12" t="n">
        <x:v>-13.2</x:v>
      </x:c>
      <x:c r="G24" s="11" t="str">
        <x:v>Garrett Wilson</x:v>
      </x:c>
      <x:c r="H24" s="11" t="str">
        <x:v>NYJ</x:v>
      </x:c>
      <x:c r="I24" s="13" t="n">
        <x:v>13</x:v>
      </x:c>
      <x:c r="J24" s="12" t="n">
        <x:v>203.5</x:v>
      </x:c>
      <x:c r="K24" s="12" t="n">
        <x:v>225</x:v>
      </x:c>
      <x:c r="L24" s="12" t="n">
        <x:v>-21.5</x:v>
      </x:c>
      <x:c r="M24" s="12" t="n">
        <x:v>214.3</x:v>
      </x:c>
      <x:c r="N24" s="12" t="n">
        <x:v>10.4</x:v>
      </x:c>
      <x:c r="O24" s="12" t="n">
        <x:v>19.9</x:v>
      </x:c>
      <x:c r="P24" s="11" t="str">
        <x:v>Medium</x:v>
      </x:c>
      <x:c r="Q24" s="13" t="n">
        <x:v>20</x:v>
      </x:c>
      <x:c r="R24" s="13" t="n">
        <x:v>28</x:v>
      </x:c>
      <x:c r="S24" s="12" t="n">
        <x:v>120.1</x:v>
      </x:c>
      <x:c r="T24" s="12"/>
      <x:c r="U24" s="12" t="n">
        <x:v>1.3</x:v>
      </x:c>
      <x:c r="V24" s="12" t="n">
        <x:v>3</x:v>
      </x:c>
      <x:c r="W24" s="12" t="n">
        <x:v>14.2</x:v>
      </x:c>
      <x:c r="X24" s="13" t="n">
        <x:v>7</x:v>
      </x:c>
      <x:c r="Y24" s="11"/>
      <x:c r="Z24" s="11" t="str">
        <x:v>Veteran model: 2025 form, prior-year trend and same team pass/run forecast; team pass volume #20, rush volume #28</x:v>
      </x:c>
    </x:row>
    <x:row r="25" ht="19" customHeight="1">
      <x:c r="A25" s="13" t="n">
        <x:v>21</x:v>
      </x:c>
      <x:c r="B25" s="13" t="n">
        <x:v>46</x:v>
      </x:c>
      <x:c r="C25" s="13" t="n">
        <x:v>55</x:v>
      </x:c>
      <x:c r="D25" s="12" t="n">
        <x:v>40.5</x:v>
      </x:c>
      <x:c r="E25" s="12" t="n">
        <x:v>-5.5</x:v>
      </x:c>
      <x:c r="F25" s="12" t="n">
        <x:v>-14.5</x:v>
      </x:c>
      <x:c r="G25" s="11" t="str">
        <x:v>Emeka Egbuka</x:v>
      </x:c>
      <x:c r="H25" s="11" t="str">
        <x:v>TB</x:v>
      </x:c>
      <x:c r="I25" s="13" t="n">
        <x:v>10</x:v>
      </x:c>
      <x:c r="J25" s="12" t="n">
        <x:v>198.9</x:v>
      </x:c>
      <x:c r="K25" s="12" t="n">
        <x:v>224</x:v>
      </x:c>
      <x:c r="L25" s="12" t="n">
        <x:v>-25.1</x:v>
      </x:c>
      <x:c r="M25" s="12" t="n">
        <x:v>211.4</x:v>
      </x:c>
      <x:c r="N25" s="12" t="n">
        <x:v>14.2</x:v>
      </x:c>
      <x:c r="O25" s="12" t="n">
        <x:v>24.7</x:v>
      </x:c>
      <x:c r="P25" s="11" t="str">
        <x:v>Medium</x:v>
      </x:c>
      <x:c r="Q25" s="13" t="n">
        <x:v>12</x:v>
      </x:c>
      <x:c r="R25" s="13" t="n">
        <x:v>11</x:v>
      </x:c>
      <x:c r="S25" s="12" t="n">
        <x:v>115.2</x:v>
      </x:c>
      <x:c r="T25" s="12"/>
      <x:c r="U25" s="12" t="n">
        <x:v>2.9</x:v>
      </x:c>
      <x:c r="V25" s="12" t="n">
        <x:v>3</x:v>
      </x:c>
      <x:c r="W25" s="12" t="n">
        <x:v>11.5</x:v>
      </x:c>
      <x:c r="X25" s="13" t="n">
        <x:v>17</x:v>
      </x:c>
      <x:c r="Y25" s="11" t="str">
        <x:v>Ques</x:v>
      </x:c>
      <x:c r="Z25" s="11" t="str">
        <x:v>Veteran model: 2025 form, prior-year trend and same team pass/run forecast; team pass volume #12, rush volume #11</x:v>
      </x:c>
    </x:row>
    <x:row r="26" ht="19" customHeight="1">
      <x:c r="A26" s="13" t="n">
        <x:v>22</x:v>
      </x:c>
      <x:c r="B26" s="13" t="n">
        <x:v>54</x:v>
      </x:c>
      <x:c r="C26" s="13" t="n">
        <x:v>47</x:v>
      </x:c>
      <x:c r="D26" s="12" t="n">
        <x:v>48.2</x:v>
      </x:c>
      <x:c r="E26" s="12" t="n">
        <x:v>-5.8</x:v>
      </x:c>
      <x:c r="F26" s="12" t="n">
        <x:v>1.2</x:v>
      </x:c>
      <x:c r="G26" s="11" t="str">
        <x:v>Davante Adams</x:v>
      </x:c>
      <x:c r="H26" s="11" t="str">
        <x:v>LAR</x:v>
      </x:c>
      <x:c r="I26" s="13" t="n">
        <x:v>11</x:v>
      </x:c>
      <x:c r="J26" s="12" t="n">
        <x:v>209.8</x:v>
      </x:c>
      <x:c r="K26" s="12" t="n">
        <x:v>193</x:v>
      </x:c>
      <x:c r="L26" s="12" t="n">
        <x:v>16.8</x:v>
      </x:c>
      <x:c r="M26" s="12" t="n">
        <x:v>204</x:v>
      </x:c>
      <x:c r="N26" s="12" t="n">
        <x:v>11.1</x:v>
      </x:c>
      <x:c r="O26" s="12" t="n">
        <x:v>14.5</x:v>
      </x:c>
      <x:c r="P26" s="11" t="str">
        <x:v>High</x:v>
      </x:c>
      <x:c r="Q26" s="13" t="n">
        <x:v>7</x:v>
      </x:c>
      <x:c r="R26" s="13" t="n">
        <x:v>14</x:v>
      </x:c>
      <x:c r="S26" s="12" t="n">
        <x:v>121.3</x:v>
      </x:c>
      <x:c r="T26" s="12"/>
      <x:c r="U26" s="12" t="n">
        <x:v>0</x:v>
      </x:c>
      <x:c r="V26" s="12"/>
      <x:c r="W26" s="12" t="n">
        <x:v>15.9</x:v>
      </x:c>
      <x:c r="X26" s="13" t="n">
        <x:v>14</x:v>
      </x:c>
      <x:c r="Y26" s="11"/>
      <x:c r="Z26" s="11" t="str">
        <x:v>Veteran model: 2025 form, prior-year trend and same team pass/run forecast; team pass volume #7, rush volume #14</x:v>
      </x:c>
    </x:row>
    <x:row r="27" ht="19" customHeight="1">
      <x:c r="A27" s="13" t="n">
        <x:v>23</x:v>
      </x:c>
      <x:c r="B27" s="13" t="n">
        <x:v>59</x:v>
      </x:c>
      <x:c r="C27" s="13" t="n">
        <x:v>63</x:v>
      </x:c>
      <x:c r="D27" s="12" t="n">
        <x:v>66.1</x:v>
      </x:c>
      <x:c r="E27" s="12" t="n">
        <x:v>7.1</x:v>
      </x:c>
      <x:c r="F27" s="12" t="n">
        <x:v>3.1</x:v>
      </x:c>
      <x:c r="G27" s="11" t="str">
        <x:v>Rome Odunze</x:v>
      </x:c>
      <x:c r="H27" s="11" t="str">
        <x:v>CHI</x:v>
      </x:c>
      <x:c r="I27" s="13" t="n">
        <x:v>10</x:v>
      </x:c>
      <x:c r="J27" s="12" t="n">
        <x:v>193.6</x:v>
      </x:c>
      <x:c r="K27" s="12" t="n">
        <x:v>208</x:v>
      </x:c>
      <x:c r="L27" s="12" t="n">
        <x:v>-14.4</x:v>
      </x:c>
      <x:c r="M27" s="12" t="n">
        <x:v>198.7</x:v>
      </x:c>
      <x:c r="N27" s="12" t="n">
        <x:v>12.7</x:v>
      </x:c>
      <x:c r="O27" s="12" t="n">
        <x:v>12.6</x:v>
      </x:c>
      <x:c r="P27" s="11" t="str">
        <x:v>High</x:v>
      </x:c>
      <x:c r="Q27" s="13" t="n">
        <x:v>13</x:v>
      </x:c>
      <x:c r="R27" s="13" t="n">
        <x:v>6</x:v>
      </x:c>
      <x:c r="S27" s="12" t="n">
        <x:v>111.3</x:v>
      </x:c>
      <x:c r="T27" s="12"/>
      <x:c r="U27" s="12" t="n">
        <x:v>1.6</x:v>
      </x:c>
      <x:c r="V27" s="12" t="n">
        <x:v>1</x:v>
      </x:c>
      <x:c r="W27" s="12" t="n">
        <x:v>12.2</x:v>
      </x:c>
      <x:c r="X27" s="13" t="n">
        <x:v>12</x:v>
      </x:c>
      <x:c r="Y27" s="11"/>
      <x:c r="Z27" s="11" t="str">
        <x:v>Veteran model: 2025 form, prior-year trend and same team pass/run forecast; team pass volume #13, rush volume #6</x:v>
      </x:c>
    </x:row>
    <x:row r="28" ht="19" customHeight="1">
      <x:c r="A28" s="13" t="n">
        <x:v>24</x:v>
      </x:c>
      <x:c r="B28" s="13" t="n">
        <x:v>55</x:v>
      </x:c>
      <x:c r="C28" s="13" t="n">
        <x:v>73</x:v>
      </x:c>
      <x:c r="D28" s="12" t="n">
        <x:v>47.7</x:v>
      </x:c>
      <x:c r="E28" s="12" t="n">
        <x:v>-7.3</x:v>
      </x:c>
      <x:c r="F28" s="12" t="n">
        <x:v>-25.3</x:v>
      </x:c>
      <x:c r="G28" s="11" t="str">
        <x:v>Jaylen Waddle</x:v>
      </x:c>
      <x:c r="H28" s="11" t="str">
        <x:v>DEN</x:v>
      </x:c>
      <x:c r="I28" s="13" t="n">
        <x:v>10</x:v>
      </x:c>
      <x:c r="J28" s="12" t="n">
        <x:v>186</x:v>
      </x:c>
      <x:c r="K28" s="12" t="n">
        <x:v>221</x:v>
      </x:c>
      <x:c r="L28" s="12" t="n">
        <x:v>-35</x:v>
      </x:c>
      <x:c r="M28" s="12" t="n">
        <x:v>198.2</x:v>
      </x:c>
      <x:c r="N28" s="12" t="n">
        <x:v>14.9</x:v>
      </x:c>
      <x:c r="O28" s="12" t="n">
        <x:v>14.4</x:v>
      </x:c>
      <x:c r="P28" s="11" t="str">
        <x:v>High</x:v>
      </x:c>
      <x:c r="Q28" s="13" t="n">
        <x:v>6</x:v>
      </x:c>
      <x:c r="R28" s="13" t="n">
        <x:v>19</x:v>
      </x:c>
      <x:c r="S28" s="12" t="n">
        <x:v>106.9</x:v>
      </x:c>
      <x:c r="T28" s="12"/>
      <x:c r="U28" s="12" t="n">
        <x:v>2.9</x:v>
      </x:c>
      <x:c r="V28" s="12" t="n">
        <x:v>3</x:v>
      </x:c>
      <x:c r="W28" s="12" t="n">
        <x:v>12.1</x:v>
      </x:c>
      <x:c r="X28" s="13" t="n">
        <x:v>16</x:v>
      </x:c>
      <x:c r="Y28" s="11"/>
      <x:c r="Z28" s="11" t="str">
        <x:v>Veteran model: 2025 form, prior-year trend and new team pass/run forecast; team pass volume #6, rush volume #19</x:v>
      </x:c>
    </x:row>
    <x:row r="29" ht="19" customHeight="1">
      <x:c r="A29" s="13" t="n">
        <x:v>25</x:v>
      </x:c>
      <x:c r="B29" s="13" t="n">
        <x:v>57</x:v>
      </x:c>
      <x:c r="C29" s="13" t="n">
        <x:v>38</x:v>
      </x:c>
      <x:c r="D29" s="12" t="n">
        <x:v>110.8</x:v>
      </x:c>
      <x:c r="E29" s="12" t="n">
        <x:v>53.8</x:v>
      </x:c>
      <x:c r="F29" s="12" t="n">
        <x:v>72.8</x:v>
      </x:c>
      <x:c r="G29" s="11" t="str">
        <x:v>Wan'Dale Robinson</x:v>
      </x:c>
      <x:c r="H29" s="11" t="str">
        <x:v>TEN</x:v>
      </x:c>
      <x:c r="I29" s="13" t="n">
        <x:v>9</x:v>
      </x:c>
      <x:c r="J29" s="12" t="n">
        <x:v>212.1</x:v>
      </x:c>
      <x:c r="K29" s="12" t="n">
        <x:v>171</x:v>
      </x:c>
      <x:c r="L29" s="12" t="n">
        <x:v>41.1</x:v>
      </x:c>
      <x:c r="M29" s="12" t="n">
        <x:v>197.7</x:v>
      </x:c>
      <x:c r="N29" s="12" t="n">
        <x:v>15.1</x:v>
      </x:c>
      <x:c r="O29" s="12" t="n">
        <x:v>14.1</x:v>
      </x:c>
      <x:c r="P29" s="11" t="str">
        <x:v>High</x:v>
      </x:c>
      <x:c r="Q29" s="13" t="n">
        <x:v>18</x:v>
      </x:c>
      <x:c r="R29" s="13" t="n">
        <x:v>30</x:v>
      </x:c>
      <x:c r="S29" s="12" t="n">
        <x:v>125.2</x:v>
      </x:c>
      <x:c r="T29" s="12"/>
      <x:c r="U29" s="12" t="n">
        <x:v>2.6</x:v>
      </x:c>
      <x:c r="V29" s="12" t="n">
        <x:v>3</x:v>
      </x:c>
      <x:c r="W29" s="12" t="n">
        <x:v>13.6</x:v>
      </x:c>
      <x:c r="X29" s="13" t="n">
        <x:v>16</x:v>
      </x:c>
      <x:c r="Y29" s="11"/>
      <x:c r="Z29" s="11" t="str">
        <x:v>Veteran model: 2025 form, prior-year trend and new team pass/run forecast; team pass volume #18, rush volume #30</x:v>
      </x:c>
    </x:row>
    <x:row r="30" ht="19" customHeight="1">
      <x:c r="A30" s="13" t="n">
        <x:v>26</x:v>
      </x:c>
      <x:c r="B30" s="13" t="n">
        <x:v>60</x:v>
      </x:c>
      <x:c r="C30" s="13" t="n">
        <x:v>60</x:v>
      </x:c>
      <x:c r="D30" s="12" t="n">
        <x:v>72.4</x:v>
      </x:c>
      <x:c r="E30" s="12" t="n">
        <x:v>12.4</x:v>
      </x:c>
      <x:c r="F30" s="12" t="n">
        <x:v>12.4</x:v>
      </x:c>
      <x:c r="G30" s="11" t="str">
        <x:v>Brian Thomas</x:v>
      </x:c>
      <x:c r="H30" s="11" t="str">
        <x:v>JAX</x:v>
      </x:c>
      <x:c r="I30" s="13" t="n">
        <x:v>7</x:v>
      </x:c>
      <x:c r="J30" s="12" t="n">
        <x:v>197.8</x:v>
      </x:c>
      <x:c r="K30" s="12" t="n">
        <x:v>195</x:v>
      </x:c>
      <x:c r="L30" s="12" t="n">
        <x:v>2.8</x:v>
      </x:c>
      <x:c r="M30" s="12" t="n">
        <x:v>196.8</x:v>
      </x:c>
      <x:c r="N30" s="12" t="n">
        <x:v>13.7</x:v>
      </x:c>
      <x:c r="O30" s="12" t="n">
        <x:v>12.1</x:v>
      </x:c>
      <x:c r="P30" s="11" t="str">
        <x:v>High</x:v>
      </x:c>
      <x:c r="Q30" s="13" t="n">
        <x:v>11</x:v>
      </x:c>
      <x:c r="R30" s="13" t="n">
        <x:v>15</x:v>
      </x:c>
      <x:c r="S30" s="12" t="n">
        <x:v>104.9</x:v>
      </x:c>
      <x:c r="T30" s="12"/>
      <x:c r="U30" s="12" t="n">
        <x:v>4.8</x:v>
      </x:c>
      <x:c r="V30" s="12" t="n">
        <x:v>3</x:v>
      </x:c>
      <x:c r="W30" s="12" t="n">
        <x:v>9.9</x:v>
      </x:c>
      <x:c r="X30" s="13" t="n">
        <x:v>14</x:v>
      </x:c>
      <x:c r="Y30" s="11"/>
      <x:c r="Z30" s="11" t="str">
        <x:v>Veteran model: 2025 form, prior-year trend and same team pass/run forecast; team pass volume #11, rush volume #15</x:v>
      </x:c>
    </x:row>
    <x:row r="31" ht="19" customHeight="1">
      <x:c r="A31" s="13" t="n">
        <x:v>27</x:v>
      </x:c>
      <x:c r="B31" s="13" t="n">
        <x:v>65</x:v>
      </x:c>
      <x:c r="C31" s="13" t="n">
        <x:v>89</x:v>
      </x:c>
      <x:c r="D31" s="12" t="n">
        <x:v>69.1</x:v>
      </x:c>
      <x:c r="E31" s="12" t="n">
        <x:v>4.1</x:v>
      </x:c>
      <x:c r="F31" s="12" t="n">
        <x:v>-19.9</x:v>
      </x:c>
      <x:c r="G31" s="11" t="str">
        <x:v>Christian Watson</x:v>
      </x:c>
      <x:c r="H31" s="11" t="str">
        <x:v>GB</x:v>
      </x:c>
      <x:c r="I31" s="13" t="n">
        <x:v>11</x:v>
      </x:c>
      <x:c r="J31" s="12" t="n">
        <x:v>180</x:v>
      </x:c>
      <x:c r="K31" s="12" t="n">
        <x:v>208</x:v>
      </x:c>
      <x:c r="L31" s="12" t="n">
        <x:v>-28</x:v>
      </x:c>
      <x:c r="M31" s="12" t="n">
        <x:v>194</x:v>
      </x:c>
      <x:c r="N31" s="12" t="n">
        <x:v>12.4</x:v>
      </x:c>
      <x:c r="O31" s="12" t="n">
        <x:v>8.9</x:v>
      </x:c>
      <x:c r="P31" s="11" t="str">
        <x:v>Medium</x:v>
      </x:c>
      <x:c r="Q31" s="13" t="n">
        <x:v>30</x:v>
      </x:c>
      <x:c r="R31" s="13" t="n">
        <x:v>4</x:v>
      </x:c>
      <x:c r="S31" s="12" t="n">
        <x:v>97.5</x:v>
      </x:c>
      <x:c r="T31" s="12"/>
      <x:c r="U31" s="12" t="n">
        <x:v>2.4</x:v>
      </x:c>
      <x:c r="V31" s="12" t="n">
        <x:v>2</x:v>
      </x:c>
      <x:c r="W31" s="12" t="n">
        <x:v>13.2</x:v>
      </x:c>
      <x:c r="X31" s="13" t="n">
        <x:v>10</x:v>
      </x:c>
      <x:c r="Y31" s="11"/>
      <x:c r="Z31" s="11" t="str">
        <x:v>Veteran model: 2025 form, prior-year trend and same team pass/run forecast; team pass volume #30, rush volume #4</x:v>
      </x:c>
    </x:row>
    <x:row r="32" ht="19" customHeight="1">
      <x:c r="A32" s="13" t="n">
        <x:v>28</x:v>
      </x:c>
      <x:c r="B32" s="13" t="n">
        <x:v>68</x:v>
      </x:c>
      <x:c r="C32" s="13" t="n">
        <x:v>51</x:v>
      </x:c>
      <x:c r="D32" s="12" t="n">
        <x:v>80.9</x:v>
      </x:c>
      <x:c r="E32" s="12" t="n">
        <x:v>12.9</x:v>
      </x:c>
      <x:c r="F32" s="12" t="n">
        <x:v>29.9</x:v>
      </x:c>
      <x:c r="G32" s="11" t="str">
        <x:v>Courtland Sutton</x:v>
      </x:c>
      <x:c r="H32" s="11" t="str">
        <x:v>DEN</x:v>
      </x:c>
      <x:c r="I32" s="13" t="n">
        <x:v>10</x:v>
      </x:c>
      <x:c r="J32" s="12" t="n">
        <x:v>203.9</x:v>
      </x:c>
      <x:c r="K32" s="12" t="n">
        <x:v>174</x:v>
      </x:c>
      <x:c r="L32" s="12" t="n">
        <x:v>29.9</x:v>
      </x:c>
      <x:c r="M32" s="12" t="n">
        <x:v>193.4</x:v>
      </x:c>
      <x:c r="N32" s="12" t="n">
        <x:v>12.3</x:v>
      </x:c>
      <x:c r="O32" s="12" t="n">
        <x:v>8.4</x:v>
      </x:c>
      <x:c r="P32" s="11" t="str">
        <x:v>High</x:v>
      </x:c>
      <x:c r="Q32" s="13" t="n">
        <x:v>6</x:v>
      </x:c>
      <x:c r="R32" s="13" t="n">
        <x:v>19</x:v>
      </x:c>
      <x:c r="S32" s="12" t="n">
        <x:v>115.3</x:v>
      </x:c>
      <x:c r="T32" s="12"/>
      <x:c r="U32" s="12" t="n">
        <x:v>0.2</x:v>
      </x:c>
      <x:c r="V32" s="12"/>
      <x:c r="W32" s="12" t="n">
        <x:v>12.9</x:v>
      </x:c>
      <x:c r="X32" s="13" t="n">
        <x:v>17</x:v>
      </x:c>
      <x:c r="Y32" s="11"/>
      <x:c r="Z32" s="11" t="str">
        <x:v>Veteran model: 2025 form, prior-year trend and same team pass/run forecast; team pass volume #6, rush volume #19</x:v>
      </x:c>
    </x:row>
    <x:row r="33" ht="19" customHeight="1">
      <x:c r="A33" s="13" t="n">
        <x:v>29</x:v>
      </x:c>
      <x:c r="B33" s="13" t="n">
        <x:v>73</x:v>
      </x:c>
      <x:c r="C33" s="13" t="n">
        <x:v>93</x:v>
      </x:c>
      <x:c r="D33" s="12" t="n">
        <x:v>55.9</x:v>
      </x:c>
      <x:c r="E33" s="12" t="n">
        <x:v>-17.1</x:v>
      </x:c>
      <x:c r="F33" s="12" t="n">
        <x:v>-37.1</x:v>
      </x:c>
      <x:c r="G33" s="11" t="str">
        <x:v>Terry McLaurin</x:v>
      </x:c>
      <x:c r="H33" s="11" t="str">
        <x:v>WAS</x:v>
      </x:c>
      <x:c r="I33" s="13" t="n">
        <x:v>7</x:v>
      </x:c>
      <x:c r="J33" s="12" t="n">
        <x:v>172.2</x:v>
      </x:c>
      <x:c r="K33" s="12" t="n">
        <x:v>214</x:v>
      </x:c>
      <x:c r="L33" s="12" t="n">
        <x:v>-41.8</x:v>
      </x:c>
      <x:c r="M33" s="12" t="n">
        <x:v>193.1</x:v>
      </x:c>
      <x:c r="N33" s="12" t="n">
        <x:v>10.4</x:v>
      </x:c>
      <x:c r="O33" s="12" t="n">
        <x:v>6.9</x:v>
      </x:c>
      <x:c r="P33" s="11" t="str">
        <x:v>Medium</x:v>
      </x:c>
      <x:c r="Q33" s="13" t="n">
        <x:v>29</x:v>
      </x:c>
      <x:c r="R33" s="13" t="n">
        <x:v>8</x:v>
      </x:c>
      <x:c r="S33" s="12" t="n">
        <x:v>96.4</x:v>
      </x:c>
      <x:c r="T33" s="12"/>
      <x:c r="U33" s="12" t="n">
        <x:v>0.4</x:v>
      </x:c>
      <x:c r="V33" s="12" t="n">
        <x:v>1</x:v>
      </x:c>
      <x:c r="W33" s="12" t="n">
        <x:v>11.4</x:v>
      </x:c>
      <x:c r="X33" s="13" t="n">
        <x:v>10</x:v>
      </x:c>
      <x:c r="Y33" s="11"/>
      <x:c r="Z33" s="11" t="str">
        <x:v>Veteran model: 2025 form, prior-year trend and same team pass/run forecast; team pass volume #29, rush volume #8</x:v>
      </x:c>
    </x:row>
    <x:row r="34" ht="19" customHeight="1">
      <x:c r="A34" s="13" t="n">
        <x:v>30</x:v>
      </x:c>
      <x:c r="B34" s="13" t="n">
        <x:v>70</x:v>
      </x:c>
      <x:c r="C34" s="13" t="n">
        <x:v>46</x:v>
      </x:c>
      <x:c r="D34" s="12" t="n">
        <x:v>108.9</x:v>
      </x:c>
      <x:c r="E34" s="12" t="n">
        <x:v>38.9</x:v>
      </x:c>
      <x:c r="F34" s="12" t="n">
        <x:v>62.9</x:v>
      </x:c>
      <x:c r="G34" s="11" t="str">
        <x:v>Quentin Johnston</x:v>
      </x:c>
      <x:c r="H34" s="11" t="str">
        <x:v>LAC</x:v>
      </x:c>
      <x:c r="I34" s="13" t="n">
        <x:v>7</x:v>
      </x:c>
      <x:c r="J34" s="12" t="n">
        <x:v>207.2</x:v>
      </x:c>
      <x:c r="K34" s="12" t="n">
        <x:v>164</x:v>
      </x:c>
      <x:c r="L34" s="12" t="n">
        <x:v>43.2</x:v>
      </x:c>
      <x:c r="M34" s="12" t="n">
        <x:v>192.1</x:v>
      </x:c>
      <x:c r="N34" s="12" t="n">
        <x:v>13.1</x:v>
      </x:c>
      <x:c r="O34" s="12" t="n">
        <x:v>7.9</x:v>
      </x:c>
      <x:c r="P34" s="11" t="str">
        <x:v>High</x:v>
      </x:c>
      <x:c r="Q34" s="13" t="n">
        <x:v>14</x:v>
      </x:c>
      <x:c r="R34" s="13" t="n">
        <x:v>16</x:v>
      </x:c>
      <x:c r="S34" s="12" t="n">
        <x:v>114.2</x:v>
      </x:c>
      <x:c r="T34" s="12"/>
      <x:c r="U34" s="12" t="n">
        <x:v>3</x:v>
      </x:c>
      <x:c r="V34" s="12" t="n">
        <x:v>2</x:v>
      </x:c>
      <x:c r="W34" s="12" t="n">
        <x:v>12.2</x:v>
      </x:c>
      <x:c r="X34" s="13" t="n">
        <x:v>14</x:v>
      </x:c>
      <x:c r="Y34" s="11" t="str">
        <x:v>Ques</x:v>
      </x:c>
      <x:c r="Z34" s="11" t="str">
        <x:v>Veteran model: 2025 form, prior-year trend and same team pass/run forecast; team pass volume #14, rush volume #16</x:v>
      </x:c>
    </x:row>
    <x:row r="35" ht="19" customHeight="1">
      <x:c r="A35" s="13" t="n">
        <x:v>31</x:v>
      </x:c>
      <x:c r="B35" s="13" t="n">
        <x:v>75</x:v>
      </x:c>
      <x:c r="C35" s="13" t="n">
        <x:v>68</x:v>
      </x:c>
      <x:c r="D35" s="12" t="n">
        <x:v>75.7</x:v>
      </x:c>
      <x:c r="E35" s="12" t="n">
        <x:v>0.7</x:v>
      </x:c>
      <x:c r="F35" s="12" t="n">
        <x:v>7.7</x:v>
      </x:c>
      <x:c r="G35" s="11" t="str">
        <x:v>Marvin Harrison</x:v>
      </x:c>
      <x:c r="H35" s="11" t="str">
        <x:v>ARI</x:v>
      </x:c>
      <x:c r="I35" s="13" t="n">
        <x:v>14</x:v>
      </x:c>
      <x:c r="J35" s="12" t="n">
        <x:v>191.1</x:v>
      </x:c>
      <x:c r="K35" s="12" t="n">
        <x:v>186</x:v>
      </x:c>
      <x:c r="L35" s="12" t="n">
        <x:v>5.1</x:v>
      </x:c>
      <x:c r="M35" s="12" t="n">
        <x:v>189.3</x:v>
      </x:c>
      <x:c r="N35" s="12" t="n">
        <x:v>12</x:v>
      </x:c>
      <x:c r="O35" s="12" t="n">
        <x:v>5.3</x:v>
      </x:c>
      <x:c r="P35" s="11" t="str">
        <x:v>High</x:v>
      </x:c>
      <x:c r="Q35" s="13" t="n">
        <x:v>3</x:v>
      </x:c>
      <x:c r="R35" s="13" t="n">
        <x:v>29</x:v>
      </x:c>
      <x:c r="S35" s="12" t="n">
        <x:v>107.4</x:v>
      </x:c>
      <x:c r="T35" s="12"/>
      <x:c r="U35" s="12" t="n">
        <x:v>1.4</x:v>
      </x:c>
      <x:c r="V35" s="12"/>
      <x:c r="W35" s="12" t="n">
        <x:v>10.7</x:v>
      </x:c>
      <x:c r="X35" s="13" t="n">
        <x:v>12</x:v>
      </x:c>
      <x:c r="Y35" s="11"/>
      <x:c r="Z35" s="11" t="str">
        <x:v>Veteran model: 2025 form, prior-year trend and same team pass/run forecast; team pass volume #3, rush volume #29</x:v>
      </x:c>
    </x:row>
    <x:row r="36" ht="19" customHeight="1">
      <x:c r="A36" s="13" t="n">
        <x:v>32</x:v>
      </x:c>
      <x:c r="B36" s="13" t="n">
        <x:v>80</x:v>
      </x:c>
      <x:c r="C36" s="13" t="n">
        <x:v>123</x:v>
      </x:c>
      <x:c r="D36" s="12" t="n">
        <x:v>59.5</x:v>
      </x:c>
      <x:c r="E36" s="12" t="n">
        <x:v>-20.5</x:v>
      </x:c>
      <x:c r="F36" s="12" t="n">
        <x:v>-63.5</x:v>
      </x:c>
      <x:c r="G36" s="11" t="str">
        <x:v>Mike Evans</x:v>
      </x:c>
      <x:c r="H36" s="11" t="str">
        <x:v>SF</x:v>
      </x:c>
      <x:c r="I36" s="13" t="n">
        <x:v>8</x:v>
      </x:c>
      <x:c r="J36" s="12" t="n">
        <x:v>154.7</x:v>
      </x:c>
      <x:c r="K36" s="12" t="n">
        <x:v>222</x:v>
      </x:c>
      <x:c r="L36" s="12" t="n">
        <x:v>-67.3</x:v>
      </x:c>
      <x:c r="M36" s="12" t="n">
        <x:v>188.3</x:v>
      </x:c>
      <x:c r="N36" s="12" t="n">
        <x:v>9.7</x:v>
      </x:c>
      <x:c r="O36" s="12" t="n">
        <x:v>3.7</x:v>
      </x:c>
      <x:c r="P36" s="11" t="str">
        <x:v>Medium</x:v>
      </x:c>
      <x:c r="Q36" s="13" t="n">
        <x:v>16</x:v>
      </x:c>
      <x:c r="R36" s="13" t="n">
        <x:v>9</x:v>
      </x:c>
      <x:c r="S36" s="12" t="n">
        <x:v>91.9</x:v>
      </x:c>
      <x:c r="T36" s="12"/>
      <x:c r="U36" s="12" t="n">
        <x:v>0</x:v>
      </x:c>
      <x:c r="V36" s="12"/>
      <x:c r="W36" s="12" t="n">
        <x:v>10.6</x:v>
      </x:c>
      <x:c r="X36" s="13" t="n">
        <x:v>8</x:v>
      </x:c>
      <x:c r="Y36" s="11" t="str">
        <x:v>Ques</x:v>
      </x:c>
      <x:c r="Z36" s="11" t="str">
        <x:v>Veteran model: 2025 form, prior-year trend and new team pass/run forecast; team pass volume #16, rush volume #9</x:v>
      </x:c>
    </x:row>
    <x:row r="37" ht="19" customHeight="1">
      <x:c r="A37" s="13" t="n">
        <x:v>33</x:v>
      </x:c>
      <x:c r="B37" s="13" t="n">
        <x:v>76</x:v>
      </x:c>
      <x:c r="C37" s="13" t="n">
        <x:v>61</x:v>
      </x:c>
      <x:c r="D37" s="12" t="n">
        <x:v>104.5</x:v>
      </x:c>
      <x:c r="E37" s="12" t="n">
        <x:v>28.5</x:v>
      </x:c>
      <x:c r="F37" s="12" t="n">
        <x:v>43.5</x:v>
      </x:c>
      <x:c r="G37" s="11" t="str">
        <x:v>Jordan Addison</x:v>
      </x:c>
      <x:c r="H37" s="11" t="str">
        <x:v>MIN</x:v>
      </x:c>
      <x:c r="I37" s="13" t="n">
        <x:v>6</x:v>
      </x:c>
      <x:c r="J37" s="12" t="n">
        <x:v>196.6</x:v>
      </x:c>
      <x:c r="K37" s="12" t="n">
        <x:v>172</x:v>
      </x:c>
      <x:c r="L37" s="12" t="n">
        <x:v>24.6</x:v>
      </x:c>
      <x:c r="M37" s="12" t="n">
        <x:v>188</x:v>
      </x:c>
      <x:c r="N37" s="12" t="n">
        <x:v>14.5</x:v>
      </x:c>
      <x:c r="O37" s="12" t="n">
        <x:v>5.3</x:v>
      </x:c>
      <x:c r="P37" s="11" t="str">
        <x:v>High</x:v>
      </x:c>
      <x:c r="Q37" s="13" t="n">
        <x:v>26</x:v>
      </x:c>
      <x:c r="R37" s="13" t="n">
        <x:v>27</x:v>
      </x:c>
      <x:c r="S37" s="12" t="n">
        <x:v>103.9</x:v>
      </x:c>
      <x:c r="T37" s="12"/>
      <x:c r="U37" s="12" t="n">
        <x:v>4.8</x:v>
      </x:c>
      <x:c r="V37" s="12" t="n">
        <x:v>4</x:v>
      </x:c>
      <x:c r="W37" s="12" t="n">
        <x:v>9.7</x:v>
      </x:c>
      <x:c r="X37" s="13" t="n">
        <x:v>14</x:v>
      </x:c>
      <x:c r="Y37" s="11"/>
      <x:c r="Z37" s="11" t="str">
        <x:v>Veteran model: 2025 form, prior-year trend and same team pass/run forecast; team pass volume #26, rush volume #27</x:v>
      </x:c>
    </x:row>
    <x:row r="38" ht="19" customHeight="1">
      <x:c r="A38" s="13" t="n">
        <x:v>34</x:v>
      </x:c>
      <x:c r="B38" s="13" t="n">
        <x:v>79</x:v>
      </x:c>
      <x:c r="C38" s="13" t="n">
        <x:v>127</x:v>
      </x:c>
      <x:c r="D38" s="12" t="n">
        <x:v>114.5</x:v>
      </x:c>
      <x:c r="E38" s="12" t="n">
        <x:v>35.5</x:v>
      </x:c>
      <x:c r="F38" s="12" t="n">
        <x:v>-12.5</x:v>
      </x:c>
      <x:c r="G38" s="11" t="str">
        <x:v>Jayden Reed</x:v>
      </x:c>
      <x:c r="H38" s="11" t="str">
        <x:v>GB</x:v>
      </x:c>
      <x:c r="I38" s="13" t="n">
        <x:v>11</x:v>
      </x:c>
      <x:c r="J38" s="12" t="n">
        <x:v>156.2</x:v>
      </x:c>
      <x:c r="K38" s="12" t="n">
        <x:v>198</x:v>
      </x:c>
      <x:c r="L38" s="12" t="n">
        <x:v>-41.8</x:v>
      </x:c>
      <x:c r="M38" s="12" t="n">
        <x:v>187.6</x:v>
      </x:c>
      <x:c r="N38" s="12" t="n">
        <x:v>11</x:v>
      </x:c>
      <x:c r="O38" s="12" t="n">
        <x:v>3.8</x:v>
      </x:c>
      <x:c r="P38" s="11" t="str">
        <x:v>Low</x:v>
      </x:c>
      <x:c r="Q38" s="13" t="n">
        <x:v>30</x:v>
      </x:c>
      <x:c r="R38" s="13" t="n">
        <x:v>4</x:v>
      </x:c>
      <x:c r="S38" s="12" t="n">
        <x:v>78.7</x:v>
      </x:c>
      <x:c r="T38" s="12"/>
      <x:c r="U38" s="12" t="n">
        <x:v>9.1</x:v>
      </x:c>
      <x:c r="V38" s="12" t="n">
        <x:v>14</x:v>
      </x:c>
      <x:c r="W38" s="12" t="n">
        <x:v>6.9</x:v>
      </x:c>
      <x:c r="X38" s="13" t="n">
        <x:v>7</x:v>
      </x:c>
      <x:c r="Y38" s="11"/>
      <x:c r="Z38" s="11" t="str">
        <x:v>Veteran model: 2025 form, prior-year trend and same team pass/run forecast; team pass volume #30, rush volume #4</x:v>
      </x:c>
    </x:row>
    <x:row r="39" ht="19" customHeight="1">
      <x:c r="A39" s="13" t="n">
        <x:v>35</x:v>
      </x:c>
      <x:c r="B39" s="13" t="n">
        <x:v>83</x:v>
      </x:c>
      <x:c r="C39" s="13" t="n">
        <x:v>99</x:v>
      </x:c>
      <x:c r="D39" s="12" t="n">
        <x:v>76.7</x:v>
      </x:c>
      <x:c r="E39" s="12" t="n">
        <x:v>-6.3</x:v>
      </x:c>
      <x:c r="F39" s="12" t="n">
        <x:v>-22.3</x:v>
      </x:c>
      <x:c r="G39" s="11" t="str">
        <x:v>Parker Washington</x:v>
      </x:c>
      <x:c r="H39" s="11" t="str">
        <x:v>JAX</x:v>
      </x:c>
      <x:c r="I39" s="13" t="n">
        <x:v>7</x:v>
      </x:c>
      <x:c r="J39" s="12" t="n">
        <x:v>170.1</x:v>
      </x:c>
      <x:c r="K39" s="12" t="n">
        <x:v>212</x:v>
      </x:c>
      <x:c r="L39" s="12" t="n">
        <x:v>-41.9</x:v>
      </x:c>
      <x:c r="M39" s="12" t="n">
        <x:v>184.7</x:v>
      </x:c>
      <x:c r="N39" s="12" t="n">
        <x:v>13.3</x:v>
      </x:c>
      <x:c r="O39" s="12" t="n">
        <x:v>2.3</x:v>
      </x:c>
      <x:c r="P39" s="11" t="str">
        <x:v>High</x:v>
      </x:c>
      <x:c r="Q39" s="13" t="n">
        <x:v>11</x:v>
      </x:c>
      <x:c r="R39" s="13" t="n">
        <x:v>15</x:v>
      </x:c>
      <x:c r="S39" s="12" t="n">
        <x:v>94.8</x:v>
      </x:c>
      <x:c r="T39" s="12"/>
      <x:c r="U39" s="12" t="n">
        <x:v>3.6</x:v>
      </x:c>
      <x:c r="V39" s="12" t="n">
        <x:v>10</x:v>
      </x:c>
      <x:c r="W39" s="12" t="n">
        <x:v>11.5</x:v>
      </x:c>
      <x:c r="X39" s="13" t="n">
        <x:v>16</x:v>
      </x:c>
      <x:c r="Y39" s="11" t="str">
        <x:v>Ques</x:v>
      </x:c>
      <x:c r="Z39" s="11" t="str">
        <x:v>Veteran model: 2025 form, prior-year trend and same team pass/run forecast; team pass volume #11, rush volume #15</x:v>
      </x:c>
    </x:row>
    <x:row r="40" ht="19" customHeight="1">
      <x:c r="A40" s="13" t="n">
        <x:v>36</x:v>
      </x:c>
      <x:c r="B40" s="13" t="n">
        <x:v>84</x:v>
      </x:c>
      <x:c r="C40" s="13" t="n">
        <x:v>76</x:v>
      </x:c>
      <x:c r="D40" s="12" t="n">
        <x:v>97.2</x:v>
      </x:c>
      <x:c r="E40" s="12" t="n">
        <x:v>13.2</x:v>
      </x:c>
      <x:c r="F40" s="12" t="n">
        <x:v>21.2</x:v>
      </x:c>
      <x:c r="G40" s="11" t="str">
        <x:v>Alec Pierce</x:v>
      </x:c>
      <x:c r="H40" s="11" t="str">
        <x:v>IND</x:v>
      </x:c>
      <x:c r="I40" s="13" t="n">
        <x:v>13</x:v>
      </x:c>
      <x:c r="J40" s="12" t="n">
        <x:v>184.8</x:v>
      </x:c>
      <x:c r="K40" s="12" t="n">
        <x:v>178</x:v>
      </x:c>
      <x:c r="L40" s="12" t="n">
        <x:v>6.8</x:v>
      </x:c>
      <x:c r="M40" s="12" t="n">
        <x:v>182.4</x:v>
      </x:c>
      <x:c r="N40" s="12" t="n">
        <x:v>13.2</x:v>
      </x:c>
      <x:c r="O40" s="12" t="n">
        <x:v>0.5</x:v>
      </x:c>
      <x:c r="P40" s="11" t="str">
        <x:v>High</x:v>
      </x:c>
      <x:c r="Q40" s="13" t="n">
        <x:v>21</x:v>
      </x:c>
      <x:c r="R40" s="13" t="n">
        <x:v>13</x:v>
      </x:c>
      <x:c r="S40" s="12" t="n">
        <x:v>102.7</x:v>
      </x:c>
      <x:c r="T40" s="12"/>
      <x:c r="U40" s="12" t="n">
        <x:v>0.7</x:v>
      </x:c>
      <x:c r="V40" s="12" t="n">
        <x:v>1</x:v>
      </x:c>
      <x:c r="W40" s="12" t="n">
        <x:v>12.2</x:v>
      </x:c>
      <x:c r="X40" s="13" t="n">
        <x:v>15</x:v>
      </x:c>
      <x:c r="Y40" s="11" t="str">
        <x:v>PUP</x:v>
      </x:c>
      <x:c r="Z40" s="11" t="str">
        <x:v>Veteran model: 2025 form, prior-year trend and same team pass/run forecast; team pass volume #21, rush volume #13</x:v>
      </x:c>
    </x:row>
    <x:row r="41" ht="19" customHeight="1">
      <x:c r="A41" s="13" t="n">
        <x:v>37</x:v>
      </x:c>
      <x:c r="B41" s="13" t="n">
        <x:v>85</x:v>
      </x:c>
      <x:c r="C41" s="13" t="n">
        <x:v>53</x:v>
      </x:c>
      <x:c r="D41" s="12" t="n">
        <x:v>64</x:v>
      </x:c>
      <x:c r="E41" s="12" t="n">
        <x:v>-21</x:v>
      </x:c>
      <x:c r="F41" s="12" t="n">
        <x:v>11</x:v>
      </x:c>
      <x:c r="G41" s="11" t="str">
        <x:v>Carnell Tate</x:v>
      </x:c>
      <x:c r="H41" s="11" t="str">
        <x:v>TEN</x:v>
      </x:c>
      <x:c r="I41" s="13" t="n">
        <x:v>9</x:v>
      </x:c>
      <x:c r="J41" s="12" t="n">
        <x:v>196.4</x:v>
      </x:c>
      <x:c r="K41" s="12" t="n">
        <x:v>177</x:v>
      </x:c>
      <x:c r="L41" s="12" t="n">
        <x:v>19.4</x:v>
      </x:c>
      <x:c r="M41" s="12" t="n">
        <x:v>181.8</x:v>
      </x:c>
      <x:c r="N41" s="12" t="n">
        <x:v>17</x:v>
      </x:c>
      <x:c r="O41" s="12" t="n">
        <x:v>0</x:v>
      </x:c>
      <x:c r="P41" s="11" t="str">
        <x:v>Low</x:v>
      </x:c>
      <x:c r="Q41" s="13" t="n">
        <x:v>18</x:v>
      </x:c>
      <x:c r="R41" s="13" t="n">
        <x:v>30</x:v>
      </x:c>
      <x:c r="S41" s="12" t="n">
        <x:v>0</x:v>
      </x:c>
      <x:c r="T41" s="12"/>
      <x:c r="U41" s="12" t="n">
        <x:v>0</x:v>
      </x:c>
      <x:c r="V41" s="12" t="n">
        <x:v>2</x:v>
      </x:c>
      <x:c r="W41" s="12"/>
      <x:c r="X41" s="13"/>
      <x:c r="Y41" s="11" t="str">
        <x:v>Ques</x:v>
      </x:c>
      <x:c r="Z41" s="11" t="str">
        <x:v>Rookie model: pick 4, age and destination-team environment; team pass volume #18, rush volume #30</x:v>
      </x:c>
    </x:row>
    <x:row r="42" ht="19" customHeight="1">
      <x:c r="A42" s="13" t="n">
        <x:v>38</x:v>
      </x:c>
      <x:c r="B42" s="13" t="n">
        <x:v>89</x:v>
      </x:c>
      <x:c r="C42" s="13" t="n">
        <x:v>147</x:v>
      </x:c>
      <x:c r="D42" s="12" t="n">
        <x:v>50.1</x:v>
      </x:c>
      <x:c r="E42" s="12" t="n">
        <x:v>-38.9</x:v>
      </x:c>
      <x:c r="F42" s="12" t="n">
        <x:v>-96.9</x:v>
      </x:c>
      <x:c r="G42" s="11" t="str">
        <x:v>Luther Burden</x:v>
      </x:c>
      <x:c r="H42" s="11" t="str">
        <x:v>CHI</x:v>
      </x:c>
      <x:c r="I42" s="13" t="n">
        <x:v>10</x:v>
      </x:c>
      <x:c r="J42" s="12" t="n">
        <x:v>150.3</x:v>
      </x:c>
      <x:c r="K42" s="12" t="n">
        <x:v>209</x:v>
      </x:c>
      <x:c r="L42" s="12" t="n">
        <x:v>-58.7</x:v>
      </x:c>
      <x:c r="M42" s="12" t="n">
        <x:v>179.6</x:v>
      </x:c>
      <x:c r="N42" s="12" t="n">
        <x:v>13.1</x:v>
      </x:c>
      <x:c r="O42" s="12" t="n">
        <x:v>-1.7</x:v>
      </x:c>
      <x:c r="P42" s="11" t="str">
        <x:v>Medium</x:v>
      </x:c>
      <x:c r="Q42" s="13" t="n">
        <x:v>13</x:v>
      </x:c>
      <x:c r="R42" s="13" t="n">
        <x:v>6</x:v>
      </x:c>
      <x:c r="S42" s="12" t="n">
        <x:v>84.8</x:v>
      </x:c>
      <x:c r="T42" s="12"/>
      <x:c r="U42" s="12" t="n">
        <x:v>4.8</x:v>
      </x:c>
      <x:c r="V42" s="12" t="n">
        <x:v>10</x:v>
      </x:c>
      <x:c r="W42" s="12" t="n">
        <x:v>8.5</x:v>
      </x:c>
      <x:c r="X42" s="13" t="n">
        <x:v>15</x:v>
      </x:c>
      <x:c r="Y42" s="11" t="str">
        <x:v>Ques</x:v>
      </x:c>
      <x:c r="Z42" s="11" t="str">
        <x:v>Veteran model: 2025 form, prior-year trend and same team pass/run forecast; team pass volume #13, rush volume #6</x:v>
      </x:c>
    </x:row>
    <x:row r="43" ht="19" customHeight="1">
      <x:c r="A43" s="13" t="n">
        <x:v>39</x:v>
      </x:c>
      <x:c r="B43" s="13" t="n">
        <x:v>92</x:v>
      </x:c>
      <x:c r="C43" s="13" t="n">
        <x:v>75</x:v>
      </x:c>
      <x:c r="D43" s="12" t="n">
        <x:v>82.3</x:v>
      </x:c>
      <x:c r="E43" s="12" t="n">
        <x:v>-9.7</x:v>
      </x:c>
      <x:c r="F43" s="12" t="n">
        <x:v>7.3</x:v>
      </x:c>
      <x:c r="G43" s="11" t="str">
        <x:v>Michael Wilson</x:v>
      </x:c>
      <x:c r="H43" s="11" t="str">
        <x:v>ARI</x:v>
      </x:c>
      <x:c r="I43" s="13" t="n">
        <x:v>14</x:v>
      </x:c>
      <x:c r="J43" s="12" t="n">
        <x:v>185.5</x:v>
      </x:c>
      <x:c r="K43" s="12" t="n">
        <x:v>166</x:v>
      </x:c>
      <x:c r="L43" s="12" t="n">
        <x:v>19.5</x:v>
      </x:c>
      <x:c r="M43" s="12" t="n">
        <x:v>178.7</x:v>
      </x:c>
      <x:c r="N43" s="12" t="n">
        <x:v>13.2</x:v>
      </x:c>
      <x:c r="O43" s="12" t="n">
        <x:v>-2.4</x:v>
      </x:c>
      <x:c r="P43" s="11" t="str">
        <x:v>High</x:v>
      </x:c>
      <x:c r="Q43" s="13" t="n">
        <x:v>3</x:v>
      </x:c>
      <x:c r="R43" s="13" t="n">
        <x:v>29</x:v>
      </x:c>
      <x:c r="S43" s="12" t="n">
        <x:v>107.5</x:v>
      </x:c>
      <x:c r="T43" s="12"/>
      <x:c r="U43" s="12" t="n">
        <x:v>1.3</x:v>
      </x:c>
      <x:c r="V43" s="12" t="n">
        <x:v>1</x:v>
      </x:c>
      <x:c r="W43" s="12" t="n">
        <x:v>13</x:v>
      </x:c>
      <x:c r="X43" s="13" t="n">
        <x:v>17</x:v>
      </x:c>
      <x:c r="Y43" s="11"/>
      <x:c r="Z43" s="11" t="str">
        <x:v>Veteran model: 2025 form, prior-year trend and same team pass/run forecast; team pass volume #3, rush volume #29</x:v>
      </x:c>
    </x:row>
    <x:row r="44" ht="19" customHeight="1">
      <x:c r="A44" s="13" t="n">
        <x:v>40</x:v>
      </x:c>
      <x:c r="B44" s="13" t="n">
        <x:v>93</x:v>
      </x:c>
      <x:c r="C44" s="13" t="n">
        <x:v>91</x:v>
      </x:c>
      <x:c r="D44" s="12" t="n">
        <x:v>74.3</x:v>
      </x:c>
      <x:c r="E44" s="12" t="n">
        <x:v>-18.7</x:v>
      </x:c>
      <x:c r="F44" s="12" t="n">
        <x:v>-16.7</x:v>
      </x:c>
      <x:c r="G44" s="11" t="str">
        <x:v>DK Metcalf</x:v>
      </x:c>
      <x:c r="H44" s="11" t="str">
        <x:v>PIT</x:v>
      </x:c>
      <x:c r="I44" s="13" t="n">
        <x:v>9</x:v>
      </x:c>
      <x:c r="J44" s="12" t="n">
        <x:v>175.4</x:v>
      </x:c>
      <x:c r="K44" s="12" t="n">
        <x:v>183</x:v>
      </x:c>
      <x:c r="L44" s="12" t="n">
        <x:v>-7.6</x:v>
      </x:c>
      <x:c r="M44" s="12" t="n">
        <x:v>178.1</x:v>
      </x:c>
      <x:c r="N44" s="12" t="n">
        <x:v>13.2</x:v>
      </x:c>
      <x:c r="O44" s="12" t="n">
        <x:v>-2.9</x:v>
      </x:c>
      <x:c r="P44" s="11" t="str">
        <x:v>High</x:v>
      </x:c>
      <x:c r="Q44" s="13" t="n">
        <x:v>24</x:v>
      </x:c>
      <x:c r="R44" s="13" t="n">
        <x:v>18</x:v>
      </x:c>
      <x:c r="S44" s="12" t="n">
        <x:v>96.5</x:v>
      </x:c>
      <x:c r="T44" s="12"/>
      <x:c r="U44" s="12" t="n">
        <x:v>1.8</x:v>
      </x:c>
      <x:c r="V44" s="12" t="n">
        <x:v>2</x:v>
      </x:c>
      <x:c r="W44" s="12" t="n">
        <x:v>12.5</x:v>
      </x:c>
      <x:c r="X44" s="13" t="n">
        <x:v>15</x:v>
      </x:c>
      <x:c r="Y44" s="11" t="str">
        <x:v>Ques</x:v>
      </x:c>
      <x:c r="Z44" s="11" t="str">
        <x:v>Veteran model: 2025 form, prior-year trend and same team pass/run forecast; team pass volume #24, rush volume #18</x:v>
      </x:c>
    </x:row>
    <x:row r="45" ht="19" customHeight="1">
      <x:c r="A45" s="13" t="n">
        <x:v>41</x:v>
      </x:c>
      <x:c r="B45" s="13" t="n">
        <x:v>97</x:v>
      </x:c>
      <x:c r="C45" s="13" t="n">
        <x:v>86</x:v>
      </x:c>
      <x:c r="D45" s="12" t="n">
        <x:v>104.6</x:v>
      </x:c>
      <x:c r="E45" s="12" t="n">
        <x:v>7.6</x:v>
      </x:c>
      <x:c r="F45" s="12" t="n">
        <x:v>18.6</x:v>
      </x:c>
      <x:c r="G45" s="11" t="str">
        <x:v>Jakobi Meyers</x:v>
      </x:c>
      <x:c r="H45" s="11" t="str">
        <x:v>JAX</x:v>
      </x:c>
      <x:c r="I45" s="13" t="n">
        <x:v>7</x:v>
      </x:c>
      <x:c r="J45" s="12" t="n">
        <x:v>180.1</x:v>
      </x:c>
      <x:c r="K45" s="12" t="n">
        <x:v>169</x:v>
      </x:c>
      <x:c r="L45" s="12" t="n">
        <x:v>11.1</x:v>
      </x:c>
      <x:c r="M45" s="12" t="n">
        <x:v>176.2</x:v>
      </x:c>
      <x:c r="N45" s="12" t="n">
        <x:v>11.8</x:v>
      </x:c>
      <x:c r="O45" s="12" t="n">
        <x:v>-3.9</x:v>
      </x:c>
      <x:c r="P45" s="11" t="str">
        <x:v>High</x:v>
      </x:c>
      <x:c r="Q45" s="13" t="n">
        <x:v>11</x:v>
      </x:c>
      <x:c r="R45" s="13" t="n">
        <x:v>15</x:v>
      </x:c>
      <x:c r="S45" s="12" t="n">
        <x:v>101.3</x:v>
      </x:c>
      <x:c r="T45" s="12"/>
      <x:c r="U45" s="12" t="n">
        <x:v>2.8</x:v>
      </x:c>
      <x:c r="V45" s="12" t="n">
        <x:v>4</x:v>
      </x:c>
      <x:c r="W45" s="12" t="n">
        <x:v>11</x:v>
      </x:c>
      <x:c r="X45" s="13" t="n">
        <x:v>16</x:v>
      </x:c>
      <x:c r="Y45" s="11"/>
      <x:c r="Z45" s="11" t="str">
        <x:v>Veteran model: 2025 form, prior-year trend and same team pass/run forecast; team pass volume #11, rush volume #15</x:v>
      </x:c>
    </x:row>
    <x:row r="46" ht="19" customHeight="1">
      <x:c r="A46" s="13" t="n">
        <x:v>42</x:v>
      </x:c>
      <x:c r="B46" s="13" t="n">
        <x:v>107</x:v>
      </x:c>
      <x:c r="C46" s="13" t="n">
        <x:v>97</x:v>
      </x:c>
      <x:c r="D46" s="12" t="n">
        <x:v>138.6</x:v>
      </x:c>
      <x:c r="E46" s="12" t="n">
        <x:v>31.6</x:v>
      </x:c>
      <x:c r="F46" s="12" t="n">
        <x:v>41.6</x:v>
      </x:c>
      <x:c r="G46" s="11" t="str">
        <x:v>Khalil Shakir</x:v>
      </x:c>
      <x:c r="H46" s="11" t="str">
        <x:v>BUF</x:v>
      </x:c>
      <x:c r="I46" s="13" t="n">
        <x:v>7</x:v>
      </x:c>
      <x:c r="J46" s="12" t="n">
        <x:v>171.7</x:v>
      </x:c>
      <x:c r="K46" s="12" t="n">
        <x:v>171</x:v>
      </x:c>
      <x:c r="L46" s="12" t="n">
        <x:v>0.7</x:v>
      </x:c>
      <x:c r="M46" s="12" t="n">
        <x:v>171.5</x:v>
      </x:c>
      <x:c r="N46" s="12" t="n">
        <x:v>13.2</x:v>
      </x:c>
      <x:c r="O46" s="12" t="n">
        <x:v>-8</x:v>
      </x:c>
      <x:c r="P46" s="11" t="str">
        <x:v>High</x:v>
      </x:c>
      <x:c r="Q46" s="13" t="n">
        <x:v>28</x:v>
      </x:c>
      <x:c r="R46" s="13" t="n">
        <x:v>3</x:v>
      </x:c>
      <x:c r="S46" s="12" t="n">
        <x:v>93.9</x:v>
      </x:c>
      <x:c r="T46" s="12"/>
      <x:c r="U46" s="12" t="n">
        <x:v>2.4</x:v>
      </x:c>
      <x:c r="V46" s="12" t="n">
        <x:v>2</x:v>
      </x:c>
      <x:c r="W46" s="12" t="n">
        <x:v>10.4</x:v>
      </x:c>
      <x:c r="X46" s="13" t="n">
        <x:v>16</x:v>
      </x:c>
      <x:c r="Y46" s="11" t="str">
        <x:v>Ques</x:v>
      </x:c>
      <x:c r="Z46" s="11" t="str">
        <x:v>Veteran model: 2025 form, prior-year trend and same team pass/run forecast; team pass volume #28, rush volume #3</x:v>
      </x:c>
    </x:row>
    <x:row r="47" ht="19" customHeight="1">
      <x:c r="A47" s="13" t="n">
        <x:v>43</x:v>
      </x:c>
      <x:c r="B47" s="13" t="n">
        <x:v>110</x:v>
      </x:c>
      <x:c r="C47" s="13" t="n">
        <x:v>102</x:v>
      </x:c>
      <x:c r="D47" s="12" t="n">
        <x:v>102.1</x:v>
      </x:c>
      <x:c r="E47" s="12" t="n">
        <x:v>-7.9</x:v>
      </x:c>
      <x:c r="F47" s="12" t="n">
        <x:v>0.1</x:v>
      </x:c>
      <x:c r="G47" s="11" t="str">
        <x:v>Michael Pittman</x:v>
      </x:c>
      <x:c r="H47" s="11" t="str">
        <x:v>PIT</x:v>
      </x:c>
      <x:c r="I47" s="13" t="n">
        <x:v>9</x:v>
      </x:c>
      <x:c r="J47" s="12" t="n">
        <x:v>169.3</x:v>
      </x:c>
      <x:c r="K47" s="12" t="n">
        <x:v>171</x:v>
      </x:c>
      <x:c r="L47" s="12" t="n">
        <x:v>-1.7</x:v>
      </x:c>
      <x:c r="M47" s="12" t="n">
        <x:v>169.9</x:v>
      </x:c>
      <x:c r="N47" s="12" t="n">
        <x:v>13.8</x:v>
      </x:c>
      <x:c r="O47" s="12" t="n">
        <x:v>-9.7</x:v>
      </x:c>
      <x:c r="P47" s="11" t="str">
        <x:v>High</x:v>
      </x:c>
      <x:c r="Q47" s="13" t="n">
        <x:v>24</x:v>
      </x:c>
      <x:c r="R47" s="13" t="n">
        <x:v>18</x:v>
      </x:c>
      <x:c r="S47" s="12" t="n">
        <x:v>100</x:v>
      </x:c>
      <x:c r="T47" s="12"/>
      <x:c r="U47" s="12" t="n">
        <x:v>0.5</x:v>
      </x:c>
      <x:c r="V47" s="12" t="n">
        <x:v>1</x:v>
      </x:c>
      <x:c r="W47" s="12" t="n">
        <x:v>11.9</x:v>
      </x:c>
      <x:c r="X47" s="13" t="n">
        <x:v>17</x:v>
      </x:c>
      <x:c r="Y47" s="11" t="str">
        <x:v>Ques</x:v>
      </x:c>
      <x:c r="Z47" s="11" t="str">
        <x:v>Veteran model: 2025 form, prior-year trend and new team pass/run forecast; team pass volume #24, rush volume #18</x:v>
      </x:c>
    </x:row>
    <x:row r="48" ht="19" customHeight="1">
      <x:c r="A48" s="13" t="n">
        <x:v>44</x:v>
      </x:c>
      <x:c r="B48" s="13" t="n">
        <x:v>113</x:v>
      </x:c>
      <x:c r="C48" s="13" t="n">
        <x:v>111</x:v>
      </x:c>
      <x:c r="D48" s="12" t="n">
        <x:v>109.6</x:v>
      </x:c>
      <x:c r="E48" s="12" t="n">
        <x:v>-3.4</x:v>
      </x:c>
      <x:c r="F48" s="12" t="n">
        <x:v>-1.4</x:v>
      </x:c>
      <x:c r="G48" s="11" t="str">
        <x:v>Josh Downs</x:v>
      </x:c>
      <x:c r="H48" s="11" t="str">
        <x:v>IND</x:v>
      </x:c>
      <x:c r="I48" s="13" t="n">
        <x:v>13</x:v>
      </x:c>
      <x:c r="J48" s="12" t="n">
        <x:v>164.7</x:v>
      </x:c>
      <x:c r="K48" s="12" t="n">
        <x:v>172</x:v>
      </x:c>
      <x:c r="L48" s="12" t="n">
        <x:v>-7.3</x:v>
      </x:c>
      <x:c r="M48" s="12" t="n">
        <x:v>167.2</x:v>
      </x:c>
      <x:c r="N48" s="12" t="n">
        <x:v>12.5</x:v>
      </x:c>
      <x:c r="O48" s="12" t="n">
        <x:v>-10.7</x:v>
      </x:c>
      <x:c r="P48" s="11" t="str">
        <x:v>High</x:v>
      </x:c>
      <x:c r="Q48" s="13" t="n">
        <x:v>21</x:v>
      </x:c>
      <x:c r="R48" s="13" t="n">
        <x:v>13</x:v>
      </x:c>
      <x:c r="S48" s="12" t="n">
        <x:v>91.5</x:v>
      </x:c>
      <x:c r="T48" s="12"/>
      <x:c r="U48" s="12" t="n">
        <x:v>2.3</x:v>
      </x:c>
      <x:c r="V48" s="12" t="n">
        <x:v>2</x:v>
      </x:c>
      <x:c r="W48" s="12" t="n">
        <x:v>8.5</x:v>
      </x:c>
      <x:c r="X48" s="13" t="n">
        <x:v>16</x:v>
      </x:c>
      <x:c r="Y48" s="11"/>
      <x:c r="Z48" s="11" t="str">
        <x:v>Veteran model: 2025 form, prior-year trend and same team pass/run forecast; team pass volume #21, rush volume #13</x:v>
      </x:c>
    </x:row>
    <x:row r="49" ht="19" customHeight="1">
      <x:c r="A49" s="13" t="n">
        <x:v>45</x:v>
      </x:c>
      <x:c r="B49" s="13" t="n">
        <x:v>105</x:v>
      </x:c>
      <x:c r="C49" s="13" t="n">
        <x:v>108</x:v>
      </x:c>
      <x:c r="D49" s="12" t="n">
        <x:v>95.8</x:v>
      </x:c>
      <x:c r="E49" s="12" t="n">
        <x:v>-9.2</x:v>
      </x:c>
      <x:c r="F49" s="12" t="n">
        <x:v>-12.2</x:v>
      </x:c>
      <x:c r="G49" s="11" t="str">
        <x:v>Chris Godwin</x:v>
      </x:c>
      <x:c r="H49" s="11" t="str">
        <x:v>TB</x:v>
      </x:c>
      <x:c r="I49" s="13" t="n">
        <x:v>10</x:v>
      </x:c>
      <x:c r="J49" s="12" t="n">
        <x:v>158</x:v>
      </x:c>
      <x:c r="K49" s="12" t="n">
        <x:v>174</x:v>
      </x:c>
      <x:c r="L49" s="12" t="n">
        <x:v>-16</x:v>
      </x:c>
      <x:c r="M49" s="12" t="n">
        <x:v>166</x:v>
      </x:c>
      <x:c r="N49" s="12" t="n">
        <x:v>7.7</x:v>
      </x:c>
      <x:c r="O49" s="12" t="n">
        <x:v>-7.2</x:v>
      </x:c>
      <x:c r="P49" s="11" t="str">
        <x:v>Medium</x:v>
      </x:c>
      <x:c r="Q49" s="13" t="n">
        <x:v>12</x:v>
      </x:c>
      <x:c r="R49" s="13" t="n">
        <x:v>11</x:v>
      </x:c>
      <x:c r="S49" s="12" t="n">
        <x:v>88</x:v>
      </x:c>
      <x:c r="T49" s="12"/>
      <x:c r="U49" s="12" t="n">
        <x:v>1</x:v>
      </x:c>
      <x:c r="V49" s="12" t="n">
        <x:v>1</x:v>
      </x:c>
      <x:c r="W49" s="12" t="n">
        <x:v>9.2</x:v>
      </x:c>
      <x:c r="X49" s="13" t="n">
        <x:v>9</x:v>
      </x:c>
      <x:c r="Y49" s="11"/>
      <x:c r="Z49" s="11" t="str">
        <x:v>Veteran model: 2025 form, prior-year trend and same team pass/run forecast; team pass volume #12, rush volume #11</x:v>
      </x:c>
    </x:row>
    <x:row r="50" ht="19" customHeight="1">
      <x:c r="A50" s="13" t="n">
        <x:v>46</x:v>
      </x:c>
      <x:c r="B50" s="13" t="n">
        <x:v>115</x:v>
      </x:c>
      <x:c r="C50" s="13" t="n">
        <x:v>104</x:v>
      </x:c>
      <x:c r="D50" s="12" t="n">
        <x:v>139.3</x:v>
      </x:c>
      <x:c r="E50" s="12" t="n">
        <x:v>24.3</x:v>
      </x:c>
      <x:c r="F50" s="12" t="n">
        <x:v>35.3</x:v>
      </x:c>
      <x:c r="G50" s="11" t="str">
        <x:v>Xavier Worthy</x:v>
      </x:c>
      <x:c r="H50" s="11" t="str">
        <x:v>KC</x:v>
      </x:c>
      <x:c r="I50" s="13" t="n">
        <x:v>5</x:v>
      </x:c>
      <x:c r="J50" s="12" t="n">
        <x:v>168.2</x:v>
      </x:c>
      <x:c r="K50" s="12" t="n">
        <x:v>162</x:v>
      </x:c>
      <x:c r="L50" s="12" t="n">
        <x:v>6.2</x:v>
      </x:c>
      <x:c r="M50" s="12" t="n">
        <x:v>166</x:v>
      </x:c>
      <x:c r="N50" s="12" t="n">
        <x:v>12.9</x:v>
      </x:c>
      <x:c r="O50" s="12" t="n">
        <x:v>-12</x:v>
      </x:c>
      <x:c r="P50" s="11" t="str">
        <x:v>High</x:v>
      </x:c>
      <x:c r="Q50" s="13" t="n">
        <x:v>5</x:v>
      </x:c>
      <x:c r="R50" s="13" t="n">
        <x:v>25</x:v>
      </x:c>
      <x:c r="S50" s="12" t="n">
        <x:v>90.1</x:v>
      </x:c>
      <x:c r="T50" s="12"/>
      <x:c r="U50" s="12" t="n">
        <x:v>10.8</x:v>
      </x:c>
      <x:c r="V50" s="12" t="n">
        <x:v>17</x:v>
      </x:c>
      <x:c r="W50" s="12" t="n">
        <x:v>7.9</x:v>
      </x:c>
      <x:c r="X50" s="13" t="n">
        <x:v>14</x:v>
      </x:c>
      <x:c r="Y50" s="11" t="str">
        <x:v>Ques</x:v>
      </x:c>
      <x:c r="Z50" s="11" t="str">
        <x:v>Veteran model: 2025 form, prior-year trend and same team pass/run forecast; team pass volume #5, rush volume #25</x:v>
      </x:c>
    </x:row>
    <x:row r="51" ht="19" customHeight="1">
      <x:c r="A51" s="13" t="n">
        <x:v>47</x:v>
      </x:c>
      <x:c r="B51" s="13" t="n">
        <x:v>118</x:v>
      </x:c>
      <x:c r="C51" s="13" t="n">
        <x:v>158</x:v>
      </x:c>
      <x:c r="D51" s="12" t="n">
        <x:v>86</x:v>
      </x:c>
      <x:c r="E51" s="12" t="n">
        <x:v>-32</x:v>
      </x:c>
      <x:c r="F51" s="12" t="n">
        <x:v>-72</x:v>
      </x:c>
      <x:c r="G51" s="11" t="str">
        <x:v>Makai Lemon</x:v>
      </x:c>
      <x:c r="H51" s="11" t="str">
        <x:v>PHI</x:v>
      </x:c>
      <x:c r="I51" s="13" t="n">
        <x:v>10</x:v>
      </x:c>
      <x:c r="J51" s="12" t="n">
        <x:v>145.4</x:v>
      </x:c>
      <x:c r="K51" s="12" t="n">
        <x:v>169</x:v>
      </x:c>
      <x:c r="L51" s="12" t="n">
        <x:v>-23.6</x:v>
      </x:c>
      <x:c r="M51" s="12" t="n">
        <x:v>163.1</x:v>
      </x:c>
      <x:c r="N51" s="12" t="n">
        <x:v>12.5</x:v>
      </x:c>
      <x:c r="O51" s="12" t="n">
        <x:v>-13.8</x:v>
      </x:c>
      <x:c r="P51" s="11" t="str">
        <x:v>Low</x:v>
      </x:c>
      <x:c r="Q51" s="13" t="n">
        <x:v>31</x:v>
      </x:c>
      <x:c r="R51" s="13" t="n">
        <x:v>2</x:v>
      </x:c>
      <x:c r="S51" s="12" t="n">
        <x:v>0</x:v>
      </x:c>
      <x:c r="T51" s="12"/>
      <x:c r="U51" s="12" t="n">
        <x:v>0</x:v>
      </x:c>
      <x:c r="V51" s="12" t="n">
        <x:v>2</x:v>
      </x:c>
      <x:c r="W51" s="12"/>
      <x:c r="X51" s="13"/>
      <x:c r="Y51" s="11" t="str">
        <x:v>Ques</x:v>
      </x:c>
      <x:c r="Z51" s="11" t="str">
        <x:v>Rookie model: pick 20, age and destination-team environment; team pass volume #31, rush volume #2</x:v>
      </x:c>
    </x:row>
    <x:row r="52" ht="19" customHeight="1">
      <x:c r="A52" s="13" t="n">
        <x:v>48</x:v>
      </x:c>
      <x:c r="B52" s="13" t="n">
        <x:v>117</x:v>
      </x:c>
      <x:c r="C52" s="13" t="n">
        <x:v>109</x:v>
      </x:c>
      <x:c r="D52" s="12" t="n">
        <x:v>115.9</x:v>
      </x:c>
      <x:c r="E52" s="12" t="n">
        <x:v>-1.1</x:v>
      </x:c>
      <x:c r="F52" s="12" t="n">
        <x:v>6.9</x:v>
      </x:c>
      <x:c r="G52" s="11" t="str">
        <x:v>Stefon Diggs</x:v>
      </x:c>
      <x:c r="H52" s="11" t="str">
        <x:v>WAS</x:v>
      </x:c>
      <x:c r="I52" s="13" t="n">
        <x:v>7</x:v>
      </x:c>
      <x:c r="J52" s="12" t="n">
        <x:v>165.6</x:v>
      </x:c>
      <x:c r="K52" s="12" t="n">
        <x:v>157</x:v>
      </x:c>
      <x:c r="L52" s="12" t="n">
        <x:v>8.6</x:v>
      </x:c>
      <x:c r="M52" s="12" t="n">
        <x:v>162.6</x:v>
      </x:c>
      <x:c r="N52" s="12" t="n">
        <x:v>12.1</x:v>
      </x:c>
      <x:c r="O52" s="12" t="n">
        <x:v>-13.7</x:v>
      </x:c>
      <x:c r="P52" s="11" t="str">
        <x:v>High</x:v>
      </x:c>
      <x:c r="Q52" s="13" t="n">
        <x:v>29</x:v>
      </x:c>
      <x:c r="R52" s="13" t="n">
        <x:v>8</x:v>
      </x:c>
      <x:c r="S52" s="12" t="n">
        <x:v>95.2</x:v>
      </x:c>
      <x:c r="T52" s="12"/>
      <x:c r="U52" s="12" t="n">
        <x:v>0.8</x:v>
      </x:c>
      <x:c r="V52" s="12" t="n">
        <x:v>1</x:v>
      </x:c>
      <x:c r="W52" s="12" t="n">
        <x:v>12.4</x:v>
      </x:c>
      <x:c r="X52" s="13" t="n">
        <x:v>17</x:v>
      </x:c>
      <x:c r="Y52" s="11"/>
      <x:c r="Z52" s="11" t="str">
        <x:v>Veteran model: 2025 form, prior-year trend and new team pass/run forecast; team pass volume #29, rush volume #8</x:v>
      </x:c>
    </x:row>
    <x:row r="53" ht="19" customHeight="1">
      <x:c r="A53" s="13" t="n">
        <x:v>49</x:v>
      </x:c>
      <x:c r="B53" s="13" t="n">
        <x:v>122</x:v>
      </x:c>
      <x:c r="C53" s="13" t="n">
        <x:v>124</x:v>
      </x:c>
      <x:c r="D53" s="12" t="n">
        <x:v>131.3</x:v>
      </x:c>
      <x:c r="E53" s="12" t="n">
        <x:v>9.3</x:v>
      </x:c>
      <x:c r="F53" s="12" t="n">
        <x:v>7.3</x:v>
      </x:c>
      <x:c r="G53" s="11" t="str">
        <x:v>Romeo Doubs</x:v>
      </x:c>
      <x:c r="H53" s="11" t="str">
        <x:v>NE</x:v>
      </x:c>
      <x:c r="I53" s="13" t="n">
        <x:v>11</x:v>
      </x:c>
      <x:c r="J53" s="12" t="n">
        <x:v>162.4</x:v>
      </x:c>
      <x:c r="K53" s="12" t="n">
        <x:v>161</x:v>
      </x:c>
      <x:c r="L53" s="12" t="n">
        <x:v>1.4</x:v>
      </x:c>
      <x:c r="M53" s="12" t="n">
        <x:v>161.9</x:v>
      </x:c>
      <x:c r="N53" s="12" t="n">
        <x:v>13.9</x:v>
      </x:c>
      <x:c r="O53" s="12" t="n">
        <x:v>-16.3</x:v>
      </x:c>
      <x:c r="P53" s="11" t="str">
        <x:v>High</x:v>
      </x:c>
      <x:c r="Q53" s="13" t="n">
        <x:v>27</x:v>
      </x:c>
      <x:c r="R53" s="13" t="n">
        <x:v>12</x:v>
      </x:c>
      <x:c r="S53" s="12" t="n">
        <x:v>90.8</x:v>
      </x:c>
      <x:c r="T53" s="12"/>
      <x:c r="U53" s="12" t="n">
        <x:v>0.8</x:v>
      </x:c>
      <x:c r="V53" s="12"/>
      <x:c r="W53" s="12" t="n">
        <x:v>10.3</x:v>
      </x:c>
      <x:c r="X53" s="13" t="n">
        <x:v>16</x:v>
      </x:c>
      <x:c r="Y53" s="11"/>
      <x:c r="Z53" s="11" t="str">
        <x:v>Veteran model: 2025 form, prior-year trend and new team pass/run forecast; team pass volume #27, rush volume #12</x:v>
      </x:c>
    </x:row>
    <x:row r="54" ht="19" customHeight="1">
      <x:c r="A54" s="13" t="n">
        <x:v>50</x:v>
      </x:c>
      <x:c r="B54" s="13" t="n">
        <x:v>128</x:v>
      </x:c>
      <x:c r="C54" s="13" t="n">
        <x:v>128</x:v>
      </x:c>
      <x:c r="D54" s="12" t="n">
        <x:v>137.6</x:v>
      </x:c>
      <x:c r="E54" s="12" t="n">
        <x:v>9.6</x:v>
      </x:c>
      <x:c r="F54" s="12" t="n">
        <x:v>9.6</x:v>
      </x:c>
      <x:c r="G54" s="11" t="str">
        <x:v>Deebo Samuel</x:v>
      </x:c>
      <x:c r="H54" s="11" t="str">
        <x:v>SF</x:v>
      </x:c>
      <x:c r="I54" s="13" t="n">
        <x:v>8</x:v>
      </x:c>
      <x:c r="J54" s="12" t="n">
        <x:v>161.5</x:v>
      </x:c>
      <x:c r="K54" s="12" t="n">
        <x:v>156</x:v>
      </x:c>
      <x:c r="L54" s="12" t="n">
        <x:v>5.5</x:v>
      </x:c>
      <x:c r="M54" s="12" t="n">
        <x:v>159.5</x:v>
      </x:c>
      <x:c r="N54" s="12" t="n">
        <x:v>14.2</x:v>
      </x:c>
      <x:c r="O54" s="12" t="n">
        <x:v>-18.6</x:v>
      </x:c>
      <x:c r="P54" s="11" t="str">
        <x:v>High</x:v>
      </x:c>
      <x:c r="Q54" s="13" t="n">
        <x:v>16</x:v>
      </x:c>
      <x:c r="R54" s="13" t="n">
        <x:v>9</x:v>
      </x:c>
      <x:c r="S54" s="12" t="n">
        <x:v>86.9</x:v>
      </x:c>
      <x:c r="T54" s="12"/>
      <x:c r="U54" s="12" t="n">
        <x:v>15.1</x:v>
      </x:c>
      <x:c r="V54" s="12" t="n">
        <x:v>17</x:v>
      </x:c>
      <x:c r="W54" s="12" t="n">
        <x:v>11.8</x:v>
      </x:c>
      <x:c r="X54" s="13" t="n">
        <x:v>16</x:v>
      </x:c>
      <x:c r="Y54" s="11"/>
      <x:c r="Z54" s="11" t="str">
        <x:v>Veteran model: 2025 form, prior-year trend and new team pass/run forecast; team pass volume #16, rush volume #9</x:v>
      </x:c>
    </x:row>
    <x:row r="55" ht="19" customHeight="1">
      <x:c r="A55" s="13" t="n">
        <x:v>51</x:v>
      </x:c>
      <x:c r="B55" s="13" t="n">
        <x:v>131</x:v>
      </x:c>
      <x:c r="C55" s="13" t="n">
        <x:v>94</x:v>
      </x:c>
      <x:c r="D55" s="12" t="n">
        <x:v>205.3</x:v>
      </x:c>
      <x:c r="E55" s="12" t="n">
        <x:v>74.3</x:v>
      </x:c>
      <x:c r="F55" s="12" t="n">
        <x:v>111.3</x:v>
      </x:c>
      <x:c r="G55" s="11" t="str">
        <x:v>Tre Tucker</x:v>
      </x:c>
      <x:c r="H55" s="11" t="str">
        <x:v>LV</x:v>
      </x:c>
      <x:c r="I55" s="13" t="n">
        <x:v>13</x:v>
      </x:c>
      <x:c r="J55" s="12" t="n">
        <x:v>173.3</x:v>
      </x:c>
      <x:c r="K55" s="12" t="n">
        <x:v>126</x:v>
      </x:c>
      <x:c r="L55" s="12" t="n">
        <x:v>47.3</x:v>
      </x:c>
      <x:c r="M55" s="12" t="n">
        <x:v>156.7</x:v>
      </x:c>
      <x:c r="N55" s="12" t="n">
        <x:v>13.1</x:v>
      </x:c>
      <x:c r="O55" s="12" t="n">
        <x:v>-19.3</x:v>
      </x:c>
      <x:c r="P55" s="11" t="str">
        <x:v>High</x:v>
      </x:c>
      <x:c r="Q55" s="13" t="n">
        <x:v>15</x:v>
      </x:c>
      <x:c r="R55" s="13" t="n">
        <x:v>32</x:v>
      </x:c>
      <x:c r="S55" s="12" t="n">
        <x:v>97.7</x:v>
      </x:c>
      <x:c r="T55" s="12"/>
      <x:c r="U55" s="12" t="n">
        <x:v>7.2</x:v>
      </x:c>
      <x:c r="V55" s="12" t="n">
        <x:v>7</x:v>
      </x:c>
      <x:c r="W55" s="12" t="n">
        <x:v>9.5</x:v>
      </x:c>
      <x:c r="X55" s="13" t="n">
        <x:v>17</x:v>
      </x:c>
      <x:c r="Y55" s="11"/>
      <x:c r="Z55" s="11" t="str">
        <x:v>Veteran model: 2025 form, prior-year trend and same team pass/run forecast; team pass volume #15, rush volume #32</x:v>
      </x:c>
    </x:row>
    <x:row r="56" ht="19" customHeight="1">
      <x:c r="A56" s="13" t="n">
        <x:v>52</x:v>
      </x:c>
      <x:c r="B56" s="13" t="n">
        <x:v>139</x:v>
      </x:c>
      <x:c r="C56" s="13" t="n">
        <x:v>137</x:v>
      </x:c>
      <x:c r="D56" s="12" t="n">
        <x:v>125.1</x:v>
      </x:c>
      <x:c r="E56" s="12" t="n">
        <x:v>-13.9</x:v>
      </x:c>
      <x:c r="F56" s="12" t="n">
        <x:v>-11.9</x:v>
      </x:c>
      <x:c r="G56" s="11" t="str">
        <x:v>KC Concepcion</x:v>
      </x:c>
      <x:c r="H56" s="11" t="str">
        <x:v>CLE</x:v>
      </x:c>
      <x:c r="I56" s="13" t="n">
        <x:v>11</x:v>
      </x:c>
      <x:c r="J56" s="12" t="n">
        <x:v>157.8</x:v>
      </x:c>
      <x:c r="K56" s="12" t="n">
        <x:v>156</x:v>
      </x:c>
      <x:c r="L56" s="12" t="n">
        <x:v>1.8</x:v>
      </x:c>
      <x:c r="M56" s="12" t="n">
        <x:v>156.4</x:v>
      </x:c>
      <x:c r="N56" s="12" t="n">
        <x:v>14.6</x:v>
      </x:c>
      <x:c r="O56" s="12" t="n">
        <x:v>-21.8</x:v>
      </x:c>
      <x:c r="P56" s="11" t="str">
        <x:v>Low</x:v>
      </x:c>
      <x:c r="Q56" s="13" t="n">
        <x:v>4</x:v>
      </x:c>
      <x:c r="R56" s="13" t="n">
        <x:v>26</x:v>
      </x:c>
      <x:c r="S56" s="12" t="n">
        <x:v>0</x:v>
      </x:c>
      <x:c r="T56" s="12"/>
      <x:c r="U56" s="12" t="n">
        <x:v>0</x:v>
      </x:c>
      <x:c r="V56" s="12" t="n">
        <x:v>9</x:v>
      </x:c>
      <x:c r="W56" s="12"/>
      <x:c r="X56" s="13"/>
      <x:c r="Y56" s="11"/>
      <x:c r="Z56" s="11" t="str">
        <x:v>Rookie model: pick 24, age and destination-team environment; team pass volume #4, rush volume #26</x:v>
      </x:c>
    </x:row>
    <x:row r="57" ht="19" customHeight="1">
      <x:c r="A57" s="13" t="n">
        <x:v>53</x:v>
      </x:c>
      <x:c r="B57" s="13" t="n">
        <x:v>130</x:v>
      </x:c>
      <x:c r="C57" s="13" t="n">
        <x:v>67</x:v>
      </x:c>
      <x:c r="D57" s="12" t="n">
        <x:v>176.1</x:v>
      </x:c>
      <x:c r="E57" s="12" t="n">
        <x:v>46.1</x:v>
      </x:c>
      <x:c r="F57" s="12" t="n">
        <x:v>109.1</x:v>
      </x:c>
      <x:c r="G57" s="11" t="str">
        <x:v>Tank Dell</x:v>
      </x:c>
      <x:c r="H57" s="11" t="str">
        <x:v>HOU</x:v>
      </x:c>
      <x:c r="I57" s="13" t="n">
        <x:v>8</x:v>
      </x:c>
      <x:c r="J57" s="12" t="n">
        <x:v>191.8</x:v>
      </x:c>
      <x:c r="K57" s="12" t="n">
        <x:v>116</x:v>
      </x:c>
      <x:c r="L57" s="12" t="n">
        <x:v>75.8</x:v>
      </x:c>
      <x:c r="M57" s="12" t="n">
        <x:v>153.9</x:v>
      </x:c>
      <x:c r="N57" s="12" t="n">
        <x:v>11.5</x:v>
      </x:c>
      <x:c r="O57" s="12" t="n">
        <x:v>-18.9</x:v>
      </x:c>
      <x:c r="P57" s="11" t="str">
        <x:v>Medium</x:v>
      </x:c>
      <x:c r="Q57" s="13" t="n">
        <x:v>9</x:v>
      </x:c>
      <x:c r="R57" s="13" t="n">
        <x:v>17</x:v>
      </x:c>
      <x:c r="S57" s="12" t="n">
        <x:v>101</x:v>
      </x:c>
      <x:c r="T57" s="12"/>
      <x:c r="U57" s="12" t="n">
        <x:v>8.4</x:v>
      </x:c>
      <x:c r="V57" s="12" t="n">
        <x:v>5</x:v>
      </x:c>
      <x:c r="W57" s="12"/>
      <x:c r="X57" s="13"/>
      <x:c r="Y57" s="11" t="str">
        <x:v>Ques</x:v>
      </x:c>
      <x:c r="Z57" s="11" t="str">
        <x:v>Veteran model: 2024 form, prior-year trend and same team pass/run forecast; team pass volume #9, rush volume #17</x:v>
      </x:c>
    </x:row>
    <x:row r="58" ht="19" customHeight="1">
      <x:c r="A58" s="13" t="n">
        <x:v>54</x:v>
      </x:c>
      <x:c r="B58" s="13" t="n">
        <x:v>145</x:v>
      </x:c>
      <x:c r="C58" s="13" t="n">
        <x:v>186</x:v>
      </x:c>
      <x:c r="D58" s="12" t="n">
        <x:v>58.5</x:v>
      </x:c>
      <x:c r="E58" s="12" t="n">
        <x:v>-86.5</x:v>
      </x:c>
      <x:c r="F58" s="12" t="n">
        <x:v>-127.5</x:v>
      </x:c>
      <x:c r="G58" s="11" t="str">
        <x:v>DJ Moore</x:v>
      </x:c>
      <x:c r="H58" s="11" t="str">
        <x:v>BUF</x:v>
      </x:c>
      <x:c r="I58" s="13" t="n">
        <x:v>7</x:v>
      </x:c>
      <x:c r="J58" s="12" t="n">
        <x:v>137.5</x:v>
      </x:c>
      <x:c r="K58" s="12" t="n">
        <x:v>179</x:v>
      </x:c>
      <x:c r="L58" s="12" t="n">
        <x:v>-41.5</x:v>
      </x:c>
      <x:c r="M58" s="12" t="n">
        <x:v>152.1</x:v>
      </x:c>
      <x:c r="N58" s="12" t="n">
        <x:v>15</x:v>
      </x:c>
      <x:c r="O58" s="12" t="n">
        <x:v>-26.2</x:v>
      </x:c>
      <x:c r="P58" s="11" t="str">
        <x:v>High</x:v>
      </x:c>
      <x:c r="Q58" s="13" t="n">
        <x:v>28</x:v>
      </x:c>
      <x:c r="R58" s="13" t="n">
        <x:v>3</x:v>
      </x:c>
      <x:c r="S58" s="12" t="n">
        <x:v>82.7</x:v>
      </x:c>
      <x:c r="T58" s="12"/>
      <x:c r="U58" s="12" t="n">
        <x:v>8.4</x:v>
      </x:c>
      <x:c r="V58" s="12" t="n">
        <x:v>5</x:v>
      </x:c>
      <x:c r="W58" s="12" t="n">
        <x:v>10</x:v>
      </x:c>
      <x:c r="X58" s="13" t="n">
        <x:v>17</x:v>
      </x:c>
      <x:c r="Y58" s="11"/>
      <x:c r="Z58" s="11" t="str">
        <x:v>Veteran model: 2025 form, prior-year trend and new team pass/run forecast; team pass volume #28, rush volume #3</x:v>
      </x:c>
    </x:row>
    <x:row r="59" ht="19" customHeight="1">
      <x:c r="A59" s="13" t="n">
        <x:v>55</x:v>
      </x:c>
      <x:c r="B59" s="13" t="n">
        <x:v>140</x:v>
      </x:c>
      <x:c r="C59" s="13" t="n">
        <x:v>175</x:v>
      </x:c>
      <x:c r="D59" s="12" t="n">
        <x:v>130.8</x:v>
      </x:c>
      <x:c r="E59" s="12" t="n">
        <x:v>-9.2</x:v>
      </x:c>
      <x:c r="F59" s="12" t="n">
        <x:v>-44.2</x:v>
      </x:c>
      <x:c r="G59" s="11" t="str">
        <x:v>Matthew Golden</x:v>
      </x:c>
      <x:c r="H59" s="11" t="str">
        <x:v>GB</x:v>
      </x:c>
      <x:c r="I59" s="13" t="n">
        <x:v>11</x:v>
      </x:c>
      <x:c r="J59" s="12" t="n">
        <x:v>133.3</x:v>
      </x:c>
      <x:c r="K59" s="12" t="n">
        <x:v>170</x:v>
      </x:c>
      <x:c r="L59" s="12" t="n">
        <x:v>-36.7</x:v>
      </x:c>
      <x:c r="M59" s="12" t="n">
        <x:v>151.6</x:v>
      </x:c>
      <x:c r="N59" s="12" t="n">
        <x:v>12.5</x:v>
      </x:c>
      <x:c r="O59" s="12" t="n">
        <x:v>-22.2</x:v>
      </x:c>
      <x:c r="P59" s="11" t="str">
        <x:v>Medium</x:v>
      </x:c>
      <x:c r="Q59" s="13" t="n">
        <x:v>30</x:v>
      </x:c>
      <x:c r="R59" s="13" t="n">
        <x:v>4</x:v>
      </x:c>
      <x:c r="S59" s="12" t="n">
        <x:v>71.8</x:v>
      </x:c>
      <x:c r="T59" s="12"/>
      <x:c r="U59" s="12" t="n">
        <x:v>6.6</x:v>
      </x:c>
      <x:c r="V59" s="12" t="n">
        <x:v>8</x:v>
      </x:c>
      <x:c r="W59" s="12" t="n">
        <x:v>5</x:v>
      </x:c>
      <x:c r="X59" s="13" t="n">
        <x:v>14</x:v>
      </x:c>
      <x:c r="Y59" s="11"/>
      <x:c r="Z59" s="11" t="str">
        <x:v>Veteran model: 2025 form, prior-year trend and same team pass/run forecast; team pass volume #30, rush volume #4</x:v>
      </x:c>
    </x:row>
    <x:row r="60" ht="19" customHeight="1">
      <x:c r="A60" s="13" t="n">
        <x:v>56</x:v>
      </x:c>
      <x:c r="B60" s="13" t="n">
        <x:v>138</x:v>
      </x:c>
      <x:c r="C60" s="13" t="n">
        <x:v>130</x:v>
      </x:c>
      <x:c r="D60" s="12" t="n">
        <x:v>158.2</x:v>
      </x:c>
      <x:c r="E60" s="12" t="n">
        <x:v>20.2</x:v>
      </x:c>
      <x:c r="F60" s="12" t="n">
        <x:v>28.2</x:v>
      </x:c>
      <x:c r="G60" s="11" t="str">
        <x:v>Rashid Shaheed</x:v>
      </x:c>
      <x:c r="H60" s="11" t="str">
        <x:v>SEA</x:v>
      </x:c>
      <x:c r="I60" s="13" t="n">
        <x:v>11</x:v>
      </x:c>
      <x:c r="J60" s="12" t="n">
        <x:v>157</x:v>
      </x:c>
      <x:c r="K60" s="12" t="n">
        <x:v>138</x:v>
      </x:c>
      <x:c r="L60" s="12" t="n">
        <x:v>19</x:v>
      </x:c>
      <x:c r="M60" s="12" t="n">
        <x:v>150.3</x:v>
      </x:c>
      <x:c r="N60" s="12" t="n">
        <x:v>11.7</x:v>
      </x:c>
      <x:c r="O60" s="12" t="n">
        <x:v>-21.7</x:v>
      </x:c>
      <x:c r="P60" s="11" t="str">
        <x:v>High</x:v>
      </x:c>
      <x:c r="Q60" s="13" t="n">
        <x:v>23</x:v>
      </x:c>
      <x:c r="R60" s="13" t="n">
        <x:v>21</x:v>
      </x:c>
      <x:c r="S60" s="12" t="n">
        <x:v>82</x:v>
      </x:c>
      <x:c r="T60" s="12"/>
      <x:c r="U60" s="12" t="n">
        <x:v>7.2</x:v>
      </x:c>
      <x:c r="V60" s="12" t="n">
        <x:v>8</x:v>
      </x:c>
      <x:c r="W60" s="12" t="n">
        <x:v>8.7</x:v>
      </x:c>
      <x:c r="X60" s="13" t="n">
        <x:v>18</x:v>
      </x:c>
      <x:c r="Y60" s="11"/>
      <x:c r="Z60" s="11" t="str">
        <x:v>Veteran model: 2025 form, prior-year trend and same team pass/run forecast; team pass volume #23, rush volume #21</x:v>
      </x:c>
    </x:row>
    <x:row r="61" ht="19" customHeight="1">
      <x:c r="A61" s="13" t="n">
        <x:v>57</x:v>
      </x:c>
      <x:c r="B61" s="13" t="n">
        <x:v>136</x:v>
      </x:c>
      <x:c r="C61" s="13" t="n">
        <x:v>170</x:v>
      </x:c>
      <x:c r="D61" s="12" t="n">
        <x:v>143.4</x:v>
      </x:c>
      <x:c r="E61" s="12" t="n">
        <x:v>7.4</x:v>
      </x:c>
      <x:c r="F61" s="12" t="n">
        <x:v>-26.6</x:v>
      </x:c>
      <x:c r="G61" s="11" t="str">
        <x:v>Jalen Coker</x:v>
      </x:c>
      <x:c r="H61" s="11" t="str">
        <x:v>CAR</x:v>
      </x:c>
      <x:c r="I61" s="13" t="n">
        <x:v>5</x:v>
      </x:c>
      <x:c r="J61" s="12" t="n">
        <x:v>128.5</x:v>
      </x:c>
      <x:c r="K61" s="12" t="n">
        <x:v>166</x:v>
      </x:c>
      <x:c r="L61" s="12" t="n">
        <x:v>-37.5</x:v>
      </x:c>
      <x:c r="M61" s="12" t="n">
        <x:v>147.3</x:v>
      </x:c>
      <x:c r="N61" s="12" t="n">
        <x:v>10.2</x:v>
      </x:c>
      <x:c r="O61" s="12" t="n">
        <x:v>-20.7</x:v>
      </x:c>
      <x:c r="P61" s="11" t="str">
        <x:v>Medium</x:v>
      </x:c>
      <x:c r="Q61" s="13" t="n">
        <x:v>22</x:v>
      </x:c>
      <x:c r="R61" s="13" t="n">
        <x:v>23</x:v>
      </x:c>
      <x:c r="S61" s="12" t="n">
        <x:v>71.8</x:v>
      </x:c>
      <x:c r="T61" s="12"/>
      <x:c r="U61" s="12" t="n">
        <x:v>1.1</x:v>
      </x:c>
      <x:c r="V61" s="12" t="n">
        <x:v>1</x:v>
      </x:c>
      <x:c r="W61" s="12" t="n">
        <x:v>8.2</x:v>
      </x:c>
      <x:c r="X61" s="13" t="n">
        <x:v>11</x:v>
      </x:c>
      <x:c r="Y61" s="11"/>
      <x:c r="Z61" s="11" t="str">
        <x:v>Veteran model: 2025 form, prior-year trend and same team pass/run forecast; team pass volume #22, rush volume #23</x:v>
      </x:c>
    </x:row>
    <x:row r="62" ht="19" customHeight="1">
      <x:c r="A62" s="13" t="n">
        <x:v>58</x:v>
      </x:c>
      <x:c r="B62" s="13" t="n">
        <x:v>143</x:v>
      </x:c>
      <x:c r="C62" s="13" t="n">
        <x:v>118</x:v>
      </x:c>
      <x:c r="D62" s="12" t="n">
        <x:v>190.1</x:v>
      </x:c>
      <x:c r="E62" s="12" t="n">
        <x:v>47.1</x:v>
      </x:c>
      <x:c r="F62" s="12" t="n">
        <x:v>72.1</x:v>
      </x:c>
      <x:c r="G62" s="11" t="str">
        <x:v>Jerry Jeudy</x:v>
      </x:c>
      <x:c r="H62" s="11" t="str">
        <x:v>CLE</x:v>
      </x:c>
      <x:c r="I62" s="13" t="n">
        <x:v>11</x:v>
      </x:c>
      <x:c r="J62" s="12" t="n">
        <x:v>160</x:v>
      </x:c>
      <x:c r="K62" s="12" t="n">
        <x:v>120</x:v>
      </x:c>
      <x:c r="L62" s="12" t="n">
        <x:v>40</x:v>
      </x:c>
      <x:c r="M62" s="12" t="n">
        <x:v>146</x:v>
      </x:c>
      <x:c r="N62" s="12" t="n">
        <x:v>11.3</x:v>
      </x:c>
      <x:c r="O62" s="12" t="n">
        <x:v>-23.8</x:v>
      </x:c>
      <x:c r="P62" s="11" t="str">
        <x:v>High</x:v>
      </x:c>
      <x:c r="Q62" s="13" t="n">
        <x:v>4</x:v>
      </x:c>
      <x:c r="R62" s="13" t="n">
        <x:v>26</x:v>
      </x:c>
      <x:c r="S62" s="12" t="n">
        <x:v>98.2</x:v>
      </x:c>
      <x:c r="T62" s="12"/>
      <x:c r="U62" s="12" t="n">
        <x:v>1.5</x:v>
      </x:c>
      <x:c r="V62" s="12" t="n">
        <x:v>1</x:v>
      </x:c>
      <x:c r="W62" s="12" t="n">
        <x:v>7.1</x:v>
      </x:c>
      <x:c r="X62" s="13" t="n">
        <x:v>17</x:v>
      </x:c>
      <x:c r="Y62" s="11"/>
      <x:c r="Z62" s="11" t="str">
        <x:v>Veteran model: 2025 form, prior-year trend and same team pass/run forecast; team pass volume #4, rush volume #26</x:v>
      </x:c>
    </x:row>
    <x:row r="63" ht="19" customHeight="1">
      <x:c r="A63" s="13" t="n">
        <x:v>59</x:v>
      </x:c>
      <x:c r="B63" s="13" t="n">
        <x:v>158</x:v>
      </x:c>
      <x:c r="C63" s="13" t="n">
        <x:v>156</x:v>
      </x:c>
      <x:c r="D63" s="12" t="n">
        <x:v>163.2</x:v>
      </x:c>
      <x:c r="E63" s="12" t="n">
        <x:v>5.2</x:v>
      </x:c>
      <x:c r="F63" s="12" t="n">
        <x:v>7.2</x:v>
      </x:c>
      <x:c r="G63" s="11" t="str">
        <x:v>Denzel Boston</x:v>
      </x:c>
      <x:c r="H63" s="11" t="str">
        <x:v>CLE</x:v>
      </x:c>
      <x:c r="I63" s="13" t="n">
        <x:v>11</x:v>
      </x:c>
      <x:c r="J63" s="12" t="n">
        <x:v>146.6</x:v>
      </x:c>
      <x:c r="K63" s="12" t="n">
        <x:v>135</x:v>
      </x:c>
      <x:c r="L63" s="12" t="n">
        <x:v>11.6</x:v>
      </x:c>
      <x:c r="M63" s="12" t="n">
        <x:v>137.9</x:v>
      </x:c>
      <x:c r="N63" s="12" t="n">
        <x:v>12.8</x:v>
      </x:c>
      <x:c r="O63" s="12" t="n">
        <x:v>-33.1</x:v>
      </x:c>
      <x:c r="P63" s="11" t="str">
        <x:v>Low</x:v>
      </x:c>
      <x:c r="Q63" s="13" t="n">
        <x:v>4</x:v>
      </x:c>
      <x:c r="R63" s="13" t="n">
        <x:v>26</x:v>
      </x:c>
      <x:c r="S63" s="12" t="n">
        <x:v>0</x:v>
      </x:c>
      <x:c r="T63" s="12"/>
      <x:c r="U63" s="12" t="n">
        <x:v>0</x:v>
      </x:c>
      <x:c r="V63" s="12" t="n">
        <x:v>2</x:v>
      </x:c>
      <x:c r="W63" s="12"/>
      <x:c r="X63" s="13"/>
      <x:c r="Y63" s="11"/>
      <x:c r="Z63" s="11" t="str">
        <x:v>Rookie model: pick 39, age and destination-team environment; team pass volume #4, rush volume #26</x:v>
      </x:c>
    </x:row>
    <x:row r="64" ht="19" customHeight="1">
      <x:c r="A64" s="13" t="n">
        <x:v>60</x:v>
      </x:c>
      <x:c r="B64" s="13" t="n">
        <x:v>159</x:v>
      </x:c>
      <x:c r="C64" s="13" t="n">
        <x:v>142</x:v>
      </x:c>
      <x:c r="D64" s="12" t="n">
        <x:v>194.1</x:v>
      </x:c>
      <x:c r="E64" s="12" t="n">
        <x:v>35.1</x:v>
      </x:c>
      <x:c r="F64" s="12" t="n">
        <x:v>52.1</x:v>
      </x:c>
      <x:c r="G64" s="11" t="str">
        <x:v>Jauan Jennings</x:v>
      </x:c>
      <x:c r="H64" s="11" t="str">
        <x:v>MIN</x:v>
      </x:c>
      <x:c r="I64" s="13" t="n">
        <x:v>6</x:v>
      </x:c>
      <x:c r="J64" s="12" t="n">
        <x:v>152.7</x:v>
      </x:c>
      <x:c r="K64" s="12" t="n">
        <x:v>106</x:v>
      </x:c>
      <x:c r="L64" s="12" t="n">
        <x:v>46.7</x:v>
      </x:c>
      <x:c r="M64" s="12" t="n">
        <x:v>136.4</x:v>
      </x:c>
      <x:c r="N64" s="12" t="n">
        <x:v>12.6</x:v>
      </x:c>
      <x:c r="O64" s="12" t="n">
        <x:v>-33.6</x:v>
      </x:c>
      <x:c r="P64" s="11" t="str">
        <x:v>High</x:v>
      </x:c>
      <x:c r="Q64" s="13" t="n">
        <x:v>26</x:v>
      </x:c>
      <x:c r="R64" s="13" t="n">
        <x:v>27</x:v>
      </x:c>
      <x:c r="S64" s="12" t="n">
        <x:v>89.9</x:v>
      </x:c>
      <x:c r="T64" s="12"/>
      <x:c r="U64" s="12" t="n">
        <x:v>0.2</x:v>
      </x:c>
      <x:c r="V64" s="12"/>
      <x:c r="W64" s="12" t="n">
        <x:v>11.6</x:v>
      </x:c>
      <x:c r="X64" s="13" t="n">
        <x:v>15</x:v>
      </x:c>
      <x:c r="Y64" s="11"/>
      <x:c r="Z64" s="11" t="str">
        <x:v>Veteran model: 2025 form, prior-year trend and new team pass/run forecast; team pass volume #26, rush volume #27</x:v>
      </x:c>
    </x:row>
    <x:row r="65" ht="19" customHeight="1">
      <x:c r="A65" s="13" t="n">
        <x:v>61</x:v>
      </x:c>
      <x:c r="B65" s="13" t="n">
        <x:v>168</x:v>
      </x:c>
      <x:c r="C65" s="13" t="n">
        <x:v>145</x:v>
      </x:c>
      <x:c r="D65" s="12" t="n">
        <x:v>173.3</x:v>
      </x:c>
      <x:c r="E65" s="12" t="n">
        <x:v>5.3</x:v>
      </x:c>
      <x:c r="F65" s="12" t="n">
        <x:v>28.3</x:v>
      </x:c>
      <x:c r="G65" s="11" t="str">
        <x:v>Omar Cooper</x:v>
      </x:c>
      <x:c r="H65" s="11" t="str">
        <x:v>NYJ</x:v>
      </x:c>
      <x:c r="I65" s="13" t="n">
        <x:v>13</x:v>
      </x:c>
      <x:c r="J65" s="12" t="n">
        <x:v>152.4</x:v>
      </x:c>
      <x:c r="K65" s="12" t="n">
        <x:v>127</x:v>
      </x:c>
      <x:c r="L65" s="12" t="n">
        <x:v>25.4</x:v>
      </x:c>
      <x:c r="M65" s="12" t="n">
        <x:v>133.3</x:v>
      </x:c>
      <x:c r="N65" s="12" t="n">
        <x:v>13.6</x:v>
      </x:c>
      <x:c r="O65" s="12" t="n">
        <x:v>-38.8</x:v>
      </x:c>
      <x:c r="P65" s="11" t="str">
        <x:v>Low</x:v>
      </x:c>
      <x:c r="Q65" s="13" t="n">
        <x:v>20</x:v>
      </x:c>
      <x:c r="R65" s="13" t="n">
        <x:v>28</x:v>
      </x:c>
      <x:c r="S65" s="12" t="n">
        <x:v>0</x:v>
      </x:c>
      <x:c r="T65" s="12"/>
      <x:c r="U65" s="12" t="n">
        <x:v>0</x:v>
      </x:c>
      <x:c r="V65" s="12" t="n">
        <x:v>3</x:v>
      </x:c>
      <x:c r="W65" s="12"/>
      <x:c r="X65" s="13"/>
      <x:c r="Y65" s="11"/>
      <x:c r="Z65" s="11" t="str">
        <x:v>Rookie model: pick 30, age and destination-team environment; team pass volume #20, rush volume #28</x:v>
      </x:c>
    </x:row>
    <x:row r="66" ht="19" customHeight="1">
      <x:c r="A66" s="13" t="n">
        <x:v>62</x:v>
      </x:c>
      <x:c r="B66" s="13" t="n">
        <x:v>160</x:v>
      </x:c>
      <x:c r="C66" s="13" t="n">
        <x:v>155</x:v>
      </x:c>
      <x:c r="D66" s="12" t="n">
        <x:v>219.1</x:v>
      </x:c>
      <x:c r="E66" s="12" t="n">
        <x:v>59.1</x:v>
      </x:c>
      <x:c r="F66" s="12" t="n">
        <x:v>64.1</x:v>
      </x:c>
      <x:c r="G66" s="11" t="str">
        <x:v>Keenan Allen</x:v>
      </x:c>
      <x:c r="H66" s="11" t="str">
        <x:v>IND</x:v>
      </x:c>
      <x:c r="I66" s="13" t="n">
        <x:v>13</x:v>
      </x:c>
      <x:c r="J66" s="12" t="n">
        <x:v>144.2</x:v>
      </x:c>
      <x:c r="K66" s="12" t="n">
        <x:v>107</x:v>
      </x:c>
      <x:c r="L66" s="12" t="n">
        <x:v>37.2</x:v>
      </x:c>
      <x:c r="M66" s="12" t="n">
        <x:v>131.2</x:v>
      </x:c>
      <x:c r="N66" s="12" t="n">
        <x:v>11.9</x:v>
      </x:c>
      <x:c r="O66" s="12" t="n">
        <x:v>-35.4</x:v>
      </x:c>
      <x:c r="P66" s="11" t="str">
        <x:v>High</x:v>
      </x:c>
      <x:c r="Q66" s="13" t="n">
        <x:v>21</x:v>
      </x:c>
      <x:c r="R66" s="13" t="n">
        <x:v>13</x:v>
      </x:c>
      <x:c r="S66" s="12" t="n">
        <x:v>90</x:v>
      </x:c>
      <x:c r="T66" s="12"/>
      <x:c r="U66" s="12" t="n">
        <x:v>0</x:v>
      </x:c>
      <x:c r="V66" s="12"/>
      <x:c r="W66" s="12" t="n">
        <x:v>10.7</x:v>
      </x:c>
      <x:c r="X66" s="13" t="n">
        <x:v>17</x:v>
      </x:c>
      <x:c r="Y66" s="11"/>
      <x:c r="Z66" s="11" t="str">
        <x:v>Veteran model: 2025 form, prior-year trend and new team pass/run forecast; team pass volume #21, rush volume #13</x:v>
      </x:c>
    </x:row>
    <x:row r="67" ht="19" customHeight="1">
      <x:c r="A67" s="13" t="n">
        <x:v>63</x:v>
      </x:c>
      <x:c r="B67" s="13" t="n">
        <x:v>153</x:v>
      </x:c>
      <x:c r="C67" s="13" t="n">
        <x:v>154</x:v>
      </x:c>
      <x:c r="D67" s="12" t="n">
        <x:v>155.2</x:v>
      </x:c>
      <x:c r="E67" s="12" t="n">
        <x:v>2.2</x:v>
      </x:c>
      <x:c r="F67" s="12" t="n">
        <x:v>1.2</x:v>
      </x:c>
      <x:c r="G67" s="11" t="str">
        <x:v>De'Zhaun Stribling</x:v>
      </x:c>
      <x:c r="H67" s="11" t="str">
        <x:v>SF</x:v>
      </x:c>
      <x:c r="I67" s="13" t="n">
        <x:v>8</x:v>
      </x:c>
      <x:c r="J67" s="12" t="n">
        <x:v>138.7</x:v>
      </x:c>
      <x:c r="K67" s="12" t="n">
        <x:v>128</x:v>
      </x:c>
      <x:c r="L67" s="12" t="n">
        <x:v>10.7</x:v>
      </x:c>
      <x:c r="M67" s="12" t="n">
        <x:v>130.7</x:v>
      </x:c>
      <x:c r="N67" s="12" t="n">
        <x:v>10.1</x:v>
      </x:c>
      <x:c r="O67" s="12" t="n">
        <x:v>-30.4</x:v>
      </x:c>
      <x:c r="P67" s="11" t="str">
        <x:v>Low</x:v>
      </x:c>
      <x:c r="Q67" s="13" t="n">
        <x:v>16</x:v>
      </x:c>
      <x:c r="R67" s="13" t="n">
        <x:v>9</x:v>
      </x:c>
      <x:c r="S67" s="12" t="n">
        <x:v>0</x:v>
      </x:c>
      <x:c r="T67" s="12"/>
      <x:c r="U67" s="12" t="n">
        <x:v>0</x:v>
      </x:c>
      <x:c r="V67" s="12"/>
      <x:c r="W67" s="12"/>
      <x:c r="X67" s="13"/>
      <x:c r="Y67" s="11"/>
      <x:c r="Z67" s="11" t="str">
        <x:v>Rookie model: pick 33, age and destination-team environment; team pass volume #16, rush volume #9</x:v>
      </x:c>
    </x:row>
    <x:row r="68" ht="19" customHeight="1">
      <x:c r="A68" s="13" t="n">
        <x:v>64</x:v>
      </x:c>
      <x:c r="B68" s="13" t="n">
        <x:v>148</x:v>
      </x:c>
      <x:c r="C68" s="13" t="n">
        <x:v>152</x:v>
      </x:c>
      <x:c r="D68" s="12" t="n">
        <x:v>195.8</x:v>
      </x:c>
      <x:c r="E68" s="12" t="n">
        <x:v>47.8</x:v>
      </x:c>
      <x:c r="F68" s="12" t="n">
        <x:v>43.8</x:v>
      </x:c>
      <x:c r="G68" s="11" t="str">
        <x:v>Jalen McMillan</x:v>
      </x:c>
      <x:c r="H68" s="11" t="str">
        <x:v>TB</x:v>
      </x:c>
      <x:c r="I68" s="13" t="n">
        <x:v>10</x:v>
      </x:c>
      <x:c r="J68" s="12" t="n">
        <x:v>134.5</x:v>
      </x:c>
      <x:c r="K68" s="12" t="n">
        <x:v>127</x:v>
      </x:c>
      <x:c r="L68" s="12" t="n">
        <x:v>7.5</x:v>
      </x:c>
      <x:c r="M68" s="12" t="n">
        <x:v>128.9</x:v>
      </x:c>
      <x:c r="N68" s="12" t="n">
        <x:v>9.1</x:v>
      </x:c>
      <x:c r="O68" s="12" t="n">
        <x:v>-28.3</x:v>
      </x:c>
      <x:c r="P68" s="11" t="str">
        <x:v>Low</x:v>
      </x:c>
      <x:c r="Q68" s="13" t="n">
        <x:v>12</x:v>
      </x:c>
      <x:c r="R68" s="13" t="n">
        <x:v>11</x:v>
      </x:c>
      <x:c r="S68" s="12" t="n">
        <x:v>69.5</x:v>
      </x:c>
      <x:c r="T68" s="12"/>
      <x:c r="U68" s="12" t="n">
        <x:v>4.1</x:v>
      </x:c>
      <x:c r="V68" s="12" t="n">
        <x:v>6</x:v>
      </x:c>
      <x:c r="W68" s="12" t="n">
        <x:v>7.5</x:v>
      </x:c>
      <x:c r="X68" s="13" t="n">
        <x:v>4</x:v>
      </x:c>
      <x:c r="Y68" s="11" t="str">
        <x:v>Ques</x:v>
      </x:c>
      <x:c r="Z68" s="11" t="str">
        <x:v>Veteran model: 2025 form, prior-year trend and same team pass/run forecast; team pass volume #12, rush volume #11</x:v>
      </x:c>
    </x:row>
    <x:row r="69" ht="19" customHeight="1">
      <x:c r="A69" s="13" t="n">
        <x:v>65</x:v>
      </x:c>
      <x:c r="B69" s="13" t="n">
        <x:v>169</x:v>
      </x:c>
      <x:c r="C69" s="13" t="n">
        <x:v>157</x:v>
      </x:c>
      <x:c r="D69" s="12" t="n">
        <x:v>237.9</x:v>
      </x:c>
      <x:c r="E69" s="12" t="n">
        <x:v>68.9</x:v>
      </x:c>
      <x:c r="F69" s="12" t="n">
        <x:v>80.9</x:v>
      </x:c>
      <x:c r="G69" s="11" t="str">
        <x:v>Kayshon Boutte</x:v>
      </x:c>
      <x:c r="H69" s="11" t="str">
        <x:v>NE</x:v>
      </x:c>
      <x:c r="I69" s="13" t="n">
        <x:v>11</x:v>
      </x:c>
      <x:c r="J69" s="12" t="n">
        <x:v>145</x:v>
      </x:c>
      <x:c r="K69" s="12" t="n">
        <x:v>95</x:v>
      </x:c>
      <x:c r="L69" s="12" t="n">
        <x:v>50</x:v>
      </x:c>
      <x:c r="M69" s="12" t="n">
        <x:v>127.5</x:v>
      </x:c>
      <x:c r="N69" s="12" t="n">
        <x:v>12.2</x:v>
      </x:c>
      <x:c r="O69" s="12" t="n">
        <x:v>-39</x:v>
      </x:c>
      <x:c r="P69" s="11" t="str">
        <x:v>High</x:v>
      </x:c>
      <x:c r="Q69" s="13" t="n">
        <x:v>27</x:v>
      </x:c>
      <x:c r="R69" s="13" t="n">
        <x:v>12</x:v>
      </x:c>
      <x:c r="S69" s="12" t="n">
        <x:v>77.9</x:v>
      </x:c>
      <x:c r="T69" s="12"/>
      <x:c r="U69" s="12" t="n">
        <x:v>1</x:v>
      </x:c>
      <x:c r="V69" s="12"/>
      <x:c r="W69" s="12" t="n">
        <x:v>8.9</x:v>
      </x:c>
      <x:c r="X69" s="13" t="n">
        <x:v>14</x:v>
      </x:c>
      <x:c r="Y69" s="11"/>
      <x:c r="Z69" s="11" t="str">
        <x:v>Veteran model: 2025 form, prior-year trend and same team pass/run forecast; team pass volume #27, rush volume #12</x:v>
      </x:c>
    </x:row>
    <x:row r="70" ht="19" customHeight="1">
      <x:c r="A70" s="13" t="n">
        <x:v>66</x:v>
      </x:c>
      <x:c r="B70" s="13" t="n">
        <x:v>193</x:v>
      </x:c>
      <x:c r="C70" s="13" t="n">
        <x:v>92</x:v>
      </x:c>
      <x:c r="D70" s="12" t="n">
        <x:v>78.6</x:v>
      </x:c>
      <x:c r="E70" s="12" t="n">
        <x:v>-114.4</x:v>
      </x:c>
      <x:c r="F70" s="12" t="n">
        <x:v>-13.4</x:v>
      </x:c>
      <x:c r="G70" s="11" t="str">
        <x:v>Jordyn Tyson</x:v>
      </x:c>
      <x:c r="H70" s="11" t="str">
        <x:v>NO</x:v>
      </x:c>
      <x:c r="I70" s="13" t="n">
        <x:v>8</x:v>
      </x:c>
      <x:c r="J70" s="12" t="n">
        <x:v>175.7</x:v>
      </x:c>
      <x:c r="K70" s="12" t="n">
        <x:v>111</x:v>
      </x:c>
      <x:c r="L70" s="12" t="n">
        <x:v>64.7</x:v>
      </x:c>
      <x:c r="M70" s="12" t="n">
        <x:v>127.2</x:v>
      </x:c>
      <x:c r="N70" s="12" t="n">
        <x:v>14.9</x:v>
      </x:c>
      <x:c r="O70" s="12" t="n">
        <x:v>-47.9</x:v>
      </x:c>
      <x:c r="P70" s="11" t="str">
        <x:v>Low</x:v>
      </x:c>
      <x:c r="Q70" s="13" t="n">
        <x:v>8</x:v>
      </x:c>
      <x:c r="R70" s="13" t="n">
        <x:v>22</x:v>
      </x:c>
      <x:c r="S70" s="12" t="n">
        <x:v>0</x:v>
      </x:c>
      <x:c r="T70" s="12"/>
      <x:c r="U70" s="12" t="n">
        <x:v>0</x:v>
      </x:c>
      <x:c r="V70" s="12" t="n">
        <x:v>1</x:v>
      </x:c>
      <x:c r="W70" s="12"/>
      <x:c r="X70" s="13"/>
      <x:c r="Y70" s="11" t="str">
        <x:v>Doub</x:v>
      </x:c>
      <x:c r="Z70" s="11" t="str">
        <x:v>Rookie model: pick 8, age and destination-team environment; team pass volume #8, rush volume #22</x:v>
      </x:c>
    </x:row>
    <x:row r="71" ht="19" customHeight="1">
      <x:c r="A71" s="13" t="n">
        <x:v>67</x:v>
      </x:c>
      <x:c r="B71" s="13" t="n">
        <x:v>179</x:v>
      </x:c>
      <x:c r="C71" s="13" t="n">
        <x:v>133</x:v>
      </x:c>
      <x:c r="D71" s="12" t="n">
        <x:v>241.8</x:v>
      </x:c>
      <x:c r="E71" s="12" t="n">
        <x:v>62.8</x:v>
      </x:c>
      <x:c r="F71" s="12" t="n">
        <x:v>108.8</x:v>
      </x:c>
      <x:c r="G71" s="11" t="str">
        <x:v>Troy Franklin</x:v>
      </x:c>
      <x:c r="H71" s="11" t="str">
        <x:v>DEN</x:v>
      </x:c>
      <x:c r="I71" s="13" t="n">
        <x:v>10</x:v>
      </x:c>
      <x:c r="J71" s="12" t="n">
        <x:v>158.3</x:v>
      </x:c>
      <x:c r="K71" s="12" t="n">
        <x:v>66</x:v>
      </x:c>
      <x:c r="L71" s="12" t="n">
        <x:v>92.3</x:v>
      </x:c>
      <x:c r="M71" s="12" t="n">
        <x:v>126</x:v>
      </x:c>
      <x:c r="N71" s="12" t="n">
        <x:v>13.7</x:v>
      </x:c>
      <x:c r="O71" s="12" t="n">
        <x:v>-45</x:v>
      </x:c>
      <x:c r="P71" s="11" t="str">
        <x:v>High</x:v>
      </x:c>
      <x:c r="Q71" s="13" t="n">
        <x:v>6</x:v>
      </x:c>
      <x:c r="R71" s="13" t="n">
        <x:v>19</x:v>
      </x:c>
      <x:c r="S71" s="12" t="n">
        <x:v>90.9</x:v>
      </x:c>
      <x:c r="T71" s="12"/>
      <x:c r="U71" s="12" t="n">
        <x:v>3.9</x:v>
      </x:c>
      <x:c r="V71" s="12" t="n">
        <x:v>2</x:v>
      </x:c>
      <x:c r="W71" s="12" t="n">
        <x:v>10.4</x:v>
      </x:c>
      <x:c r="X71" s="13" t="n">
        <x:v>17</x:v>
      </x:c>
      <x:c r="Y71" s="11"/>
      <x:c r="Z71" s="11" t="str">
        <x:v>Veteran model: 2025 form, prior-year trend and same team pass/run forecast; team pass volume #6, rush volume #19</x:v>
      </x:c>
    </x:row>
    <x:row r="72" ht="19" customHeight="1">
      <x:c r="A72" s="13" t="n">
        <x:v>68</x:v>
      </x:c>
      <x:c r="B72" s="13" t="n">
        <x:v>170</x:v>
      </x:c>
      <x:c r="C72" s="13" t="n">
        <x:v>151</x:v>
      </x:c>
      <x:c r="D72" s="12" t="n">
        <x:v>234.8</x:v>
      </x:c>
      <x:c r="E72" s="12" t="n">
        <x:v>64.8</x:v>
      </x:c>
      <x:c r="F72" s="12" t="n">
        <x:v>83.8</x:v>
      </x:c>
      <x:c r="G72" s="11" t="str">
        <x:v>Keon Coleman</x:v>
      </x:c>
      <x:c r="H72" s="11" t="str">
        <x:v>BUF</x:v>
      </x:c>
      <x:c r="I72" s="13" t="n">
        <x:v>7</x:v>
      </x:c>
      <x:c r="J72" s="12" t="n">
        <x:v>146.4</x:v>
      </x:c>
      <x:c r="K72" s="12" t="n">
        <x:v>86</x:v>
      </x:c>
      <x:c r="L72" s="12" t="n">
        <x:v>60.4</x:v>
      </x:c>
      <x:c r="M72" s="12" t="n">
        <x:v>125.3</x:v>
      </x:c>
      <x:c r="N72" s="12" t="n">
        <x:v>12</x:v>
      </x:c>
      <x:c r="O72" s="12" t="n">
        <x:v>-39.9</x:v>
      </x:c>
      <x:c r="P72" s="11" t="str">
        <x:v>High</x:v>
      </x:c>
      <x:c r="Q72" s="13" t="n">
        <x:v>28</x:v>
      </x:c>
      <x:c r="R72" s="13" t="n">
        <x:v>3</x:v>
      </x:c>
      <x:c r="S72" s="12" t="n">
        <x:v>80.6</x:v>
      </x:c>
      <x:c r="T72" s="12"/>
      <x:c r="U72" s="12" t="n">
        <x:v>1.8</x:v>
      </x:c>
      <x:c r="V72" s="12" t="n">
        <x:v>3</x:v>
      </x:c>
      <x:c r="W72" s="12" t="n">
        <x:v>7.9</x:v>
      </x:c>
      <x:c r="X72" s="13" t="n">
        <x:v>13</x:v>
      </x:c>
      <x:c r="Y72" s="11" t="str">
        <x:v>Ques</x:v>
      </x:c>
      <x:c r="Z72" s="11" t="str">
        <x:v>Veteran model: 2025 form, prior-year trend and same team pass/run forecast; team pass volume #28, rush volume #3</x:v>
      </x:c>
    </x:row>
    <x:row r="73" ht="19" customHeight="1">
      <x:c r="A73" s="13" t="n">
        <x:v>69</x:v>
      </x:c>
      <x:c r="B73" s="13" t="n">
        <x:v>161</x:v>
      </x:c>
      <x:c r="C73" s="13" t="n">
        <x:v>148</x:v>
      </x:c>
      <x:c r="D73" s="12" t="n">
        <x:v>225.1</x:v>
      </x:c>
      <x:c r="E73" s="12" t="n">
        <x:v>64.1</x:v>
      </x:c>
      <x:c r="F73" s="12" t="n">
        <x:v>77.1</x:v>
      </x:c>
      <x:c r="G73" s="11" t="str">
        <x:v>Cooper Kupp</x:v>
      </x:c>
      <x:c r="H73" s="11" t="str">
        <x:v>SEA</x:v>
      </x:c>
      <x:c r="I73" s="13" t="n">
        <x:v>11</x:v>
      </x:c>
      <x:c r="J73" s="12" t="n">
        <x:v>140.5</x:v>
      </x:c>
      <x:c r="K73" s="12" t="n">
        <x:v>86</x:v>
      </x:c>
      <x:c r="L73" s="12" t="n">
        <x:v>54.5</x:v>
      </x:c>
      <x:c r="M73" s="12" t="n">
        <x:v>121.4</x:v>
      </x:c>
      <x:c r="N73" s="12" t="n">
        <x:v>10</x:v>
      </x:c>
      <x:c r="O73" s="12" t="n">
        <x:v>-35.5</x:v>
      </x:c>
      <x:c r="P73" s="11" t="str">
        <x:v>High</x:v>
      </x:c>
      <x:c r="Q73" s="13" t="n">
        <x:v>23</x:v>
      </x:c>
      <x:c r="R73" s="13" t="n">
        <x:v>21</x:v>
      </x:c>
      <x:c r="S73" s="12" t="n">
        <x:v>79</x:v>
      </x:c>
      <x:c r="T73" s="12"/>
      <x:c r="U73" s="12" t="n">
        <x:v>0.9</x:v>
      </x:c>
      <x:c r="V73" s="12"/>
      <x:c r="W73" s="12" t="n">
        <x:v>7.3</x:v>
      </x:c>
      <x:c r="X73" s="13" t="n">
        <x:v>16</x:v>
      </x:c>
      <x:c r="Y73" s="11"/>
      <x:c r="Z73" s="11" t="str">
        <x:v>Veteran model: 2025 form, prior-year trend and same team pass/run forecast; team pass volume #23, rush volume #21</x:v>
      </x:c>
    </x:row>
    <x:row r="74" ht="19" customHeight="1">
      <x:c r="A74" s="13" t="n">
        <x:v>70</x:v>
      </x:c>
      <x:c r="B74" s="13" t="n">
        <x:v>189</x:v>
      </x:c>
      <x:c r="C74" s="13" t="n">
        <x:v>221</x:v>
      </x:c>
      <x:c r="D74" s="12" t="n">
        <x:v>199.4</x:v>
      </x:c>
      <x:c r="E74" s="12" t="n">
        <x:v>10.4</x:v>
      </x:c>
      <x:c r="F74" s="12" t="n">
        <x:v>-21.6</x:v>
      </x:c>
      <x:c r="G74" s="11" t="str">
        <x:v>Malik Washington</x:v>
      </x:c>
      <x:c r="H74" s="11" t="str">
        <x:v>MIA</x:v>
      </x:c>
      <x:c r="I74" s="13" t="n">
        <x:v>6</x:v>
      </x:c>
      <x:c r="J74" s="12" t="n">
        <x:v>108.4</x:v>
      </x:c>
      <x:c r="K74" s="12" t="n">
        <x:v>131</x:v>
      </x:c>
      <x:c r="L74" s="12" t="n">
        <x:v>-22.6</x:v>
      </x:c>
      <x:c r="M74" s="12" t="n">
        <x:v>116.3</x:v>
      </x:c>
      <x:c r="N74" s="12" t="n">
        <x:v>12.3</x:v>
      </x:c>
      <x:c r="O74" s="12" t="n">
        <x:v>-47.4</x:v>
      </x:c>
      <x:c r="P74" s="11" t="str">
        <x:v>High</x:v>
      </x:c>
      <x:c r="Q74" s="13" t="n">
        <x:v>25</x:v>
      </x:c>
      <x:c r="R74" s="13" t="n">
        <x:v>24</x:v>
      </x:c>
      <x:c r="S74" s="12" t="n">
        <x:v>60</x:v>
      </x:c>
      <x:c r="T74" s="12"/>
      <x:c r="U74" s="12" t="n">
        <x:v>10.5</x:v>
      </x:c>
      <x:c r="V74" s="12" t="n">
        <x:v>22</x:v>
      </x:c>
      <x:c r="W74" s="12" t="n">
        <x:v>6.9</x:v>
      </x:c>
      <x:c r="X74" s="13" t="n">
        <x:v>17</x:v>
      </x:c>
      <x:c r="Y74" s="11"/>
      <x:c r="Z74" s="11" t="str">
        <x:v>Veteran model: 2025 form, prior-year trend and same team pass/run forecast; team pass volume #25, rush volume #24</x:v>
      </x:c>
    </x:row>
    <x:row r="75" ht="19" customHeight="1">
      <x:c r="A75" s="13" t="n">
        <x:v>71</x:v>
      </x:c>
      <x:c r="B75" s="13" t="n">
        <x:v>178</x:v>
      </x:c>
      <x:c r="C75" s="13" t="n">
        <x:v>205</x:v>
      </x:c>
      <x:c r="D75" s="12" t="n">
        <x:v>235.5</x:v>
      </x:c>
      <x:c r="E75" s="12" t="n">
        <x:v>57.5</x:v>
      </x:c>
      <x:c r="F75" s="12" t="n">
        <x:v>30.5</x:v>
      </x:c>
      <x:c r="G75" s="11" t="str">
        <x:v>Ryan Flournoy</x:v>
      </x:c>
      <x:c r="H75" s="11" t="str">
        <x:v>DAL</x:v>
      </x:c>
      <x:c r="I75" s="13" t="n">
        <x:v>14</x:v>
      </x:c>
      <x:c r="J75" s="12" t="n">
        <x:v>111.3</x:v>
      </x:c>
      <x:c r="K75" s="12" t="n">
        <x:v>121</x:v>
      </x:c>
      <x:c r="L75" s="12" t="n">
        <x:v>-9.7</x:v>
      </x:c>
      <x:c r="M75" s="12" t="n">
        <x:v>114.7</x:v>
      </x:c>
      <x:c r="N75" s="12" t="n">
        <x:v>11.3</x:v>
      </x:c>
      <x:c r="O75" s="12" t="n">
        <x:v>-44.6</x:v>
      </x:c>
      <x:c r="P75" s="11" t="str">
        <x:v>High</x:v>
      </x:c>
      <x:c r="Q75" s="13" t="n">
        <x:v>2</x:v>
      </x:c>
      <x:c r="R75" s="13" t="n">
        <x:v>20</x:v>
      </x:c>
      <x:c r="S75" s="12" t="n">
        <x:v>61.7</x:v>
      </x:c>
      <x:c r="T75" s="12"/>
      <x:c r="U75" s="12" t="n">
        <x:v>3.5</x:v>
      </x:c>
      <x:c r="V75" s="12" t="n">
        <x:v>2</x:v>
      </x:c>
      <x:c r="W75" s="12" t="n">
        <x:v>7.6</x:v>
      </x:c>
      <x:c r="X75" s="13" t="n">
        <x:v>15</x:v>
      </x:c>
      <x:c r="Y75" s="11"/>
      <x:c r="Z75" s="11" t="str">
        <x:v>Veteran model: 2025 form, prior-year trend and same team pass/run forecast; team pass volume #2, rush volume #20</x:v>
      </x:c>
    </x:row>
    <x:row r="76" ht="19" customHeight="1">
      <x:c r="A76" s="13" t="n">
        <x:v>72</x:v>
      </x:c>
      <x:c r="B76" s="13" t="n">
        <x:v>162</x:v>
      </x:c>
      <x:c r="C76" s="13" t="n">
        <x:v>174</x:v>
      </x:c>
      <x:c r="D76" s="12" t="n">
        <x:v>239.8</x:v>
      </x:c>
      <x:c r="E76" s="12" t="n">
        <x:v>77.8</x:v>
      </x:c>
      <x:c r="F76" s="12" t="n">
        <x:v>65.8</x:v>
      </x:c>
      <x:c r="G76" s="11" t="str">
        <x:v>Devaughn Vele</x:v>
      </x:c>
      <x:c r="H76" s="11" t="str">
        <x:v>NO</x:v>
      </x:c>
      <x:c r="I76" s="13" t="n">
        <x:v>8</x:v>
      </x:c>
      <x:c r="J76" s="12" t="n">
        <x:v>115.5</x:v>
      </x:c>
      <x:c r="K76" s="12" t="n">
        <x:v>111</x:v>
      </x:c>
      <x:c r="L76" s="12" t="n">
        <x:v>4.5</x:v>
      </x:c>
      <x:c r="M76" s="12" t="n">
        <x:v>113.3</x:v>
      </x:c>
      <x:c r="N76" s="12" t="n">
        <x:v>8.9</x:v>
      </x:c>
      <x:c r="O76" s="12" t="n">
        <x:v>-35.9</x:v>
      </x:c>
      <x:c r="P76" s="11" t="str">
        <x:v>Medium</x:v>
      </x:c>
      <x:c r="Q76" s="13" t="n">
        <x:v>8</x:v>
      </x:c>
      <x:c r="R76" s="13" t="n">
        <x:v>22</x:v>
      </x:c>
      <x:c r="S76" s="12" t="n">
        <x:v>66.3</x:v>
      </x:c>
      <x:c r="T76" s="12"/>
      <x:c r="U76" s="12" t="n">
        <x:v>0.8</x:v>
      </x:c>
      <x:c r="V76" s="12" t="n">
        <x:v>1</x:v>
      </x:c>
      <x:c r="W76" s="12" t="n">
        <x:v>5.1</x:v>
      </x:c>
      <x:c r="X76" s="13" t="n">
        <x:v>13</x:v>
      </x:c>
      <x:c r="Y76" s="11"/>
      <x:c r="Z76" s="11" t="str">
        <x:v>Veteran model: 2025 form, prior-year trend and same team pass/run forecast; team pass volume #8, rush volume #22</x:v>
      </x:c>
    </x:row>
    <x:row r="77" ht="19" customHeight="1">
      <x:c r="A77" s="13" t="n">
        <x:v>73</x:v>
      </x:c>
      <x:c r="B77" s="13" t="n">
        <x:v>197</x:v>
      </x:c>
      <x:c r="C77" s="13" t="n">
        <x:v>230</x:v>
      </x:c>
      <x:c r="D77" s="12" t="n">
        <x:v>183.9</x:v>
      </x:c>
      <x:c r="E77" s="12" t="n">
        <x:v>-13.1</x:v>
      </x:c>
      <x:c r="F77" s="12" t="n">
        <x:v>-46.1</x:v>
      </x:c>
      <x:c r="G77" s="11" t="str">
        <x:v>Jalen Nailor</x:v>
      </x:c>
      <x:c r="H77" s="11" t="str">
        <x:v>LV</x:v>
      </x:c>
      <x:c r="I77" s="13" t="n">
        <x:v>13</x:v>
      </x:c>
      <x:c r="J77" s="12" t="n">
        <x:v>103.4</x:v>
      </x:c>
      <x:c r="K77" s="12" t="n">
        <x:v>131</x:v>
      </x:c>
      <x:c r="L77" s="12" t="n">
        <x:v>-27.6</x:v>
      </x:c>
      <x:c r="M77" s="12" t="n">
        <x:v>113.1</x:v>
      </x:c>
      <x:c r="N77" s="12" t="n">
        <x:v>12.7</x:v>
      </x:c>
      <x:c r="O77" s="12" t="n">
        <x:v>-51.3</x:v>
      </x:c>
      <x:c r="P77" s="11" t="str">
        <x:v>High</x:v>
      </x:c>
      <x:c r="Q77" s="13" t="n">
        <x:v>15</x:v>
      </x:c>
      <x:c r="R77" s="13" t="n">
        <x:v>32</x:v>
      </x:c>
      <x:c r="S77" s="12" t="n">
        <x:v>61.8</x:v>
      </x:c>
      <x:c r="T77" s="12"/>
      <x:c r="U77" s="12" t="n">
        <x:v>2.3</x:v>
      </x:c>
      <x:c r="V77" s="12" t="n">
        <x:v>3</x:v>
      </x:c>
      <x:c r="W77" s="12" t="n">
        <x:v>5.9</x:v>
      </x:c>
      <x:c r="X77" s="13" t="n">
        <x:v>17</x:v>
      </x:c>
      <x:c r="Y77" s="11"/>
      <x:c r="Z77" s="11" t="str">
        <x:v>Veteran model: 2025 form, prior-year trend and new team pass/run forecast; team pass volume #15, rush volume #32</x:v>
      </x:c>
    </x:row>
    <x:row r="78" ht="19" customHeight="1">
      <x:c r="A78" s="13" t="n">
        <x:v>74</x:v>
      </x:c>
      <x:c r="B78" s="13" t="n">
        <x:v>190</x:v>
      </x:c>
      <x:c r="C78" s="13" t="n">
        <x:v>208</x:v>
      </x:c>
      <x:c r="D78" s="12" t="n">
        <x:v>209.8</x:v>
      </x:c>
      <x:c r="E78" s="12" t="n">
        <x:v>19.8</x:v>
      </x:c>
      <x:c r="F78" s="12" t="n">
        <x:v>1.8</x:v>
      </x:c>
      <x:c r="G78" s="11" t="str">
        <x:v>Tre' Harris</x:v>
      </x:c>
      <x:c r="H78" s="11" t="str">
        <x:v>LAC</x:v>
      </x:c>
      <x:c r="I78" s="13" t="n">
        <x:v>7</x:v>
      </x:c>
      <x:c r="J78" s="12" t="n">
        <x:v>113.1</x:v>
      </x:c>
      <x:c r="K78" s="12" t="n">
        <x:v>113</x:v>
      </x:c>
      <x:c r="L78" s="12" t="n">
        <x:v>0.1</x:v>
      </x:c>
      <x:c r="M78" s="12" t="n">
        <x:v>113</x:v>
      </x:c>
      <x:c r="N78" s="12" t="n">
        <x:v>11.7</x:v>
      </x:c>
      <x:c r="O78" s="12" t="n">
        <x:v>-47.4</x:v>
      </x:c>
      <x:c r="P78" s="11" t="str">
        <x:v>Medium</x:v>
      </x:c>
      <x:c r="Q78" s="13" t="n">
        <x:v>14</x:v>
      </x:c>
      <x:c r="R78" s="13" t="n">
        <x:v>16</x:v>
      </x:c>
      <x:c r="S78" s="12" t="n">
        <x:v>64.3</x:v>
      </x:c>
      <x:c r="T78" s="12"/>
      <x:c r="U78" s="12" t="n">
        <x:v>2.9</x:v>
      </x:c>
      <x:c r="V78" s="12" t="n">
        <x:v>1</x:v>
      </x:c>
      <x:c r="W78" s="12" t="n">
        <x:v>4.1</x:v>
      </x:c>
      <x:c r="X78" s="13" t="n">
        <x:v>17</x:v>
      </x:c>
      <x:c r="Y78" s="11"/>
      <x:c r="Z78" s="11" t="str">
        <x:v>Veteran model: 2025 form, prior-year trend and same team pass/run forecast; team pass volume #14, rush volume #16</x:v>
      </x:c>
    </x:row>
    <x:row r="79" ht="19" customHeight="1">
      <x:c r="A79" s="13" t="n">
        <x:v>75</x:v>
      </x:c>
      <x:c r="B79" s="13" t="n">
        <x:v>196</x:v>
      </x:c>
      <x:c r="C79" s="13" t="n">
        <x:v>220</x:v>
      </x:c>
      <x:c r="D79" s="12" t="n">
        <x:v>213.7</x:v>
      </x:c>
      <x:c r="E79" s="12" t="n">
        <x:v>17.7</x:v>
      </x:c>
      <x:c r="F79" s="12" t="n">
        <x:v>-6.3</x:v>
      </x:c>
      <x:c r="G79" s="11" t="str">
        <x:v>Jaylin Noel</x:v>
      </x:c>
      <x:c r="H79" s="11" t="str">
        <x:v>HOU</x:v>
      </x:c>
      <x:c r="I79" s="13" t="n">
        <x:v>8</x:v>
      </x:c>
      <x:c r="J79" s="12" t="n">
        <x:v>106.7</x:v>
      </x:c>
      <x:c r="K79" s="12" t="n">
        <x:v>114</x:v>
      </x:c>
      <x:c r="L79" s="12" t="n">
        <x:v>-7.3</x:v>
      </x:c>
      <x:c r="M79" s="12" t="n">
        <x:v>110.3</x:v>
      </x:c>
      <x:c r="N79" s="12" t="n">
        <x:v>11.7</x:v>
      </x:c>
      <x:c r="O79" s="12" t="n">
        <x:v>-49.2</x:v>
      </x:c>
      <x:c r="P79" s="11" t="str">
        <x:v>Medium</x:v>
      </x:c>
      <x:c r="Q79" s="13" t="n">
        <x:v>9</x:v>
      </x:c>
      <x:c r="R79" s="13" t="n">
        <x:v>17</x:v>
      </x:c>
      <x:c r="S79" s="12" t="n">
        <x:v>59.7</x:v>
      </x:c>
      <x:c r="T79" s="12"/>
      <x:c r="U79" s="12" t="n">
        <x:v>3.9</x:v>
      </x:c>
      <x:c r="V79" s="12" t="n">
        <x:v>10</x:v>
      </x:c>
      <x:c r="W79" s="12" t="n">
        <x:v>4</x:v>
      </x:c>
      <x:c r="X79" s="13" t="n">
        <x:v>17</x:v>
      </x:c>
      <x:c r="Y79" s="11" t="str">
        <x:v>Ques</x:v>
      </x:c>
      <x:c r="Z79" s="11" t="str">
        <x:v>Veteran model: 2025 form, prior-year trend and same team pass/run forecast; team pass volume #9, rush volume #17</x:v>
      </x:c>
    </x:row>
    <x:row r="80" ht="19" customHeight="1">
      <x:c r="A80" s="13" t="n">
        <x:v>76</x:v>
      </x:c>
      <x:c r="B80" s="13" t="n">
        <x:v>199</x:v>
      </x:c>
      <x:c r="C80" s="13" t="n">
        <x:v>184</x:v>
      </x:c>
      <x:c r="D80" s="12" t="n">
        <x:v>229.4</x:v>
      </x:c>
      <x:c r="E80" s="12" t="n">
        <x:v>30.4</x:v>
      </x:c>
      <x:c r="F80" s="12" t="n">
        <x:v>45.4</x:v>
      </x:c>
      <x:c r="G80" s="11" t="str">
        <x:v>Chimere Dike</x:v>
      </x:c>
      <x:c r="H80" s="11" t="str">
        <x:v>TEN</x:v>
      </x:c>
      <x:c r="I80" s="13" t="n">
        <x:v>9</x:v>
      </x:c>
      <x:c r="J80" s="12" t="n">
        <x:v>128.1</x:v>
      </x:c>
      <x:c r="K80" s="12" t="n">
        <x:v>89</x:v>
      </x:c>
      <x:c r="L80" s="12" t="n">
        <x:v>39.1</x:v>
      </x:c>
      <x:c r="M80" s="12" t="n">
        <x:v>108.5</x:v>
      </x:c>
      <x:c r="N80" s="12" t="n">
        <x:v>12.1</x:v>
      </x:c>
      <x:c r="O80" s="12" t="n">
        <x:v>-52.2</x:v>
      </x:c>
      <x:c r="P80" s="11" t="str">
        <x:v>Medium</x:v>
      </x:c>
      <x:c r="Q80" s="13" t="n">
        <x:v>18</x:v>
      </x:c>
      <x:c r="R80" s="13" t="n">
        <x:v>30</x:v>
      </x:c>
      <x:c r="S80" s="12" t="n">
        <x:v>77.1</x:v>
      </x:c>
      <x:c r="T80" s="12"/>
      <x:c r="U80" s="12" t="n">
        <x:v>5.3</x:v>
      </x:c>
      <x:c r="V80" s="12" t="n">
        <x:v>6</x:v>
      </x:c>
      <x:c r="W80" s="12" t="n">
        <x:v>7.4</x:v>
      </x:c>
      <x:c r="X80" s="13" t="n">
        <x:v>17</x:v>
      </x:c>
      <x:c r="Y80" s="11"/>
      <x:c r="Z80" s="11" t="str">
        <x:v>Veteran model: 2025 form, prior-year trend and same team pass/run forecast; team pass volume #18, rush volume #30</x:v>
      </x:c>
    </x:row>
    <x:row r="81" ht="19" customHeight="1">
      <x:c r="A81" s="13" t="n">
        <x:v>77</x:v>
      </x:c>
      <x:c r="B81" s="13" t="n">
        <x:v>187</x:v>
      </x:c>
      <x:c r="C81" s="13" t="n">
        <x:v>164</x:v>
      </x:c>
      <x:c r="D81" s="12" t="n">
        <x:v>230.8</x:v>
      </x:c>
      <x:c r="E81" s="12" t="n">
        <x:v>43.8</x:v>
      </x:c>
      <x:c r="F81" s="12" t="n">
        <x:v>66.8</x:v>
      </x:c>
      <x:c r="G81" s="11" t="str">
        <x:v>Germie Bernard</x:v>
      </x:c>
      <x:c r="H81" s="11" t="str">
        <x:v>PIT</x:v>
      </x:c>
      <x:c r="I81" s="13" t="n">
        <x:v>9</x:v>
      </x:c>
      <x:c r="J81" s="12" t="n">
        <x:v>135.2</x:v>
      </x:c>
      <x:c r="K81" s="12" t="n">
        <x:v>99</x:v>
      </x:c>
      <x:c r="L81" s="12" t="n">
        <x:v>36.2</x:v>
      </x:c>
      <x:c r="M81" s="12" t="n">
        <x:v>108.1</x:v>
      </x:c>
      <x:c r="N81" s="12" t="n">
        <x:v>10.8</x:v>
      </x:c>
      <x:c r="O81" s="12" t="n">
        <x:v>-46.8</x:v>
      </x:c>
      <x:c r="P81" s="11" t="str">
        <x:v>Low</x:v>
      </x:c>
      <x:c r="Q81" s="13" t="n">
        <x:v>24</x:v>
      </x:c>
      <x:c r="R81" s="13" t="n">
        <x:v>18</x:v>
      </x:c>
      <x:c r="S81" s="12" t="n">
        <x:v>0</x:v>
      </x:c>
      <x:c r="T81" s="12"/>
      <x:c r="U81" s="12" t="n">
        <x:v>0</x:v>
      </x:c>
      <x:c r="V81" s="12" t="n">
        <x:v>2</x:v>
      </x:c>
      <x:c r="W81" s="12"/>
      <x:c r="X81" s="13"/>
      <x:c r="Y81" s="11"/>
      <x:c r="Z81" s="11" t="str">
        <x:v>Rookie model: pick 47, age and destination-team environment; team pass volume #24, rush volume #18</x:v>
      </x:c>
    </x:row>
    <x:row r="82" ht="19" customHeight="1">
      <x:c r="A82" s="13" t="n">
        <x:v>78</x:v>
      </x:c>
      <x:c r="B82" s="13" t="n">
        <x:v>192</x:v>
      </x:c>
      <x:c r="C82" s="13" t="n">
        <x:v>189</x:v>
      </x:c>
      <x:c r="D82" s="12" t="n">
        <x:v>228.3</x:v>
      </x:c>
      <x:c r="E82" s="12" t="n">
        <x:v>36.3</x:v>
      </x:c>
      <x:c r="F82" s="12" t="n">
        <x:v>39.3</x:v>
      </x:c>
      <x:c r="G82" s="11" t="str">
        <x:v>Pat Bryant</x:v>
      </x:c>
      <x:c r="H82" s="11" t="str">
        <x:v>DEN</x:v>
      </x:c>
      <x:c r="I82" s="13" t="n">
        <x:v>10</x:v>
      </x:c>
      <x:c r="J82" s="12" t="n">
        <x:v>119.8</x:v>
      </x:c>
      <x:c r="K82" s="12" t="n">
        <x:v>96</x:v>
      </x:c>
      <x:c r="L82" s="12" t="n">
        <x:v>23.8</x:v>
      </x:c>
      <x:c r="M82" s="12" t="n">
        <x:v>107.9</x:v>
      </x:c>
      <x:c r="N82" s="12" t="n">
        <x:v>11</x:v>
      </x:c>
      <x:c r="O82" s="12" t="n">
        <x:v>-47.8</x:v>
      </x:c>
      <x:c r="P82" s="11" t="str">
        <x:v>Medium</x:v>
      </x:c>
      <x:c r="Q82" s="13" t="n">
        <x:v>6</x:v>
      </x:c>
      <x:c r="R82" s="13" t="n">
        <x:v>19</x:v>
      </x:c>
      <x:c r="S82" s="12" t="n">
        <x:v>70.9</x:v>
      </x:c>
      <x:c r="T82" s="12"/>
      <x:c r="U82" s="12" t="n">
        <x:v>1.8</x:v>
      </x:c>
      <x:c r="V82" s="12" t="n">
        <x:v>2</x:v>
      </x:c>
      <x:c r="W82" s="12" t="n">
        <x:v>5</x:v>
      </x:c>
      <x:c r="X82" s="13" t="n">
        <x:v>15</x:v>
      </x:c>
      <x:c r="Y82" s="11"/>
      <x:c r="Z82" s="11" t="str">
        <x:v>Veteran model: 2025 form, prior-year trend and same team pass/run forecast; team pass volume #6, rush volume #19</x:v>
      </x:c>
    </x:row>
    <x:row r="83" ht="19" customHeight="1">
      <x:c r="A83" s="13" t="n">
        <x:v>79</x:v>
      </x:c>
      <x:c r="B83" s="13" t="n">
        <x:v>200</x:v>
      </x:c>
      <x:c r="C83" s="13" t="n">
        <x:v>217</x:v>
      </x:c>
      <x:c r="D83" s="12" t="n">
        <x:v>237.7</x:v>
      </x:c>
      <x:c r="E83" s="12" t="n">
        <x:v>37.7</x:v>
      </x:c>
      <x:c r="F83" s="12" t="n">
        <x:v>20.7</x:v>
      </x:c>
      <x:c r="G83" s="11" t="str">
        <x:v>Adonai Mitchell</x:v>
      </x:c>
      <x:c r="H83" s="11" t="str">
        <x:v>NYJ</x:v>
      </x:c>
      <x:c r="I83" s="13" t="n">
        <x:v>13</x:v>
      </x:c>
      <x:c r="J83" s="12" t="n">
        <x:v>109.2</x:v>
      </x:c>
      <x:c r="K83" s="12" t="n">
        <x:v>98</x:v>
      </x:c>
      <x:c r="L83" s="12" t="n">
        <x:v>11.2</x:v>
      </x:c>
      <x:c r="M83" s="12" t="n">
        <x:v>105.2</x:v>
      </x:c>
      <x:c r="N83" s="12" t="n">
        <x:v>11.7</x:v>
      </x:c>
      <x:c r="O83" s="12" t="n">
        <x:v>-52.7</x:v>
      </x:c>
      <x:c r="P83" s="11" t="str">
        <x:v>High</x:v>
      </x:c>
      <x:c r="Q83" s="13" t="n">
        <x:v>20</x:v>
      </x:c>
      <x:c r="R83" s="13" t="n">
        <x:v>28</x:v>
      </x:c>
      <x:c r="S83" s="12" t="n">
        <x:v>68</x:v>
      </x:c>
      <x:c r="T83" s="12"/>
      <x:c r="U83" s="12" t="n">
        <x:v>2.4</x:v>
      </x:c>
      <x:c r="V83" s="12" t="n">
        <x:v>1</x:v>
      </x:c>
      <x:c r="W83" s="12" t="n">
        <x:v>5.5</x:v>
      </x:c>
      <x:c r="X83" s="13" t="n">
        <x:v>16</x:v>
      </x:c>
      <x:c r="Y83" s="11"/>
      <x:c r="Z83" s="11" t="str">
        <x:v>Veteran model: 2025 form, prior-year trend and same team pass/run forecast; team pass volume #20, rush volume #28</x:v>
      </x:c>
    </x:row>
    <x:row r="84" ht="19" customHeight="1">
      <x:c r="A84" s="13" t="n">
        <x:v>80</x:v>
      </x:c>
      <x:c r="B84" s="13" t="n">
        <x:v>194</x:v>
      </x:c>
      <x:c r="C84" s="13" t="n">
        <x:v>215</x:v>
      </x:c>
      <x:c r="D84" s="12" t="n">
        <x:v>174.3</x:v>
      </x:c>
      <x:c r="E84" s="12" t="n">
        <x:v>-19.7</x:v>
      </x:c>
      <x:c r="F84" s="12" t="n">
        <x:v>-40.7</x:v>
      </x:c>
      <x:c r="G84" s="11" t="str">
        <x:v>Ja'Kobi Lane</x:v>
      </x:c>
      <x:c r="H84" s="11" t="str">
        <x:v>BAL</x:v>
      </x:c>
      <x:c r="I84" s="13" t="n">
        <x:v>13</x:v>
      </x:c>
      <x:c r="J84" s="12" t="n">
        <x:v>101.6</x:v>
      </x:c>
      <x:c r="K84" s="12" t="n">
        <x:v>105</x:v>
      </x:c>
      <x:c r="L84" s="12" t="n">
        <x:v>-3.4</x:v>
      </x:c>
      <x:c r="M84" s="12" t="n">
        <x:v>104.1</x:v>
      </x:c>
      <x:c r="N84" s="12" t="n">
        <x:v>10.5</x:v>
      </x:c>
      <x:c r="O84" s="12" t="n">
        <x:v>-48</x:v>
      </x:c>
      <x:c r="P84" s="11" t="str">
        <x:v>Low</x:v>
      </x:c>
      <x:c r="Q84" s="13" t="n">
        <x:v>32</x:v>
      </x:c>
      <x:c r="R84" s="13" t="n">
        <x:v>1</x:v>
      </x:c>
      <x:c r="S84" s="12" t="n">
        <x:v>0</x:v>
      </x:c>
      <x:c r="T84" s="12"/>
      <x:c r="U84" s="12" t="n">
        <x:v>0</x:v>
      </x:c>
      <x:c r="V84" s="12" t="n">
        <x:v>1</x:v>
      </x:c>
      <x:c r="W84" s="12"/>
      <x:c r="X84" s="13"/>
      <x:c r="Y84" s="11"/>
      <x:c r="Z84" s="11" t="str">
        <x:v>Rookie model: pick 80, age and destination-team environment; team pass volume #32, rush volume #1</x:v>
      </x:c>
    </x:row>
    <x:row r="85" ht="19" customHeight="1">
      <x:c r="A85" s="13" t="n">
        <x:v>81</x:v>
      </x:c>
      <x:c r="B85" s="13" t="n">
        <x:v>191</x:v>
      </x:c>
      <x:c r="C85" s="13" t="n">
        <x:v>207</x:v>
      </x:c>
      <x:c r="D85" s="12" t="n">
        <x:v>232.7</x:v>
      </x:c>
      <x:c r="E85" s="12" t="n">
        <x:v>41.7</x:v>
      </x:c>
      <x:c r="F85" s="12" t="n">
        <x:v>25.7</x:v>
      </x:c>
      <x:c r="G85" s="11" t="str">
        <x:v>Rashod Bateman</x:v>
      </x:c>
      <x:c r="H85" s="11" t="str">
        <x:v>BAL</x:v>
      </x:c>
      <x:c r="I85" s="13" t="n">
        <x:v>13</x:v>
      </x:c>
      <x:c r="J85" s="12" t="n">
        <x:v>104.3</x:v>
      </x:c>
      <x:c r="K85" s="12" t="n">
        <x:v>102</x:v>
      </x:c>
      <x:c r="L85" s="12" t="n">
        <x:v>2.3</x:v>
      </x:c>
      <x:c r="M85" s="12" t="n">
        <x:v>103.5</x:v>
      </x:c>
      <x:c r="N85" s="12" t="n">
        <x:v>10.3</x:v>
      </x:c>
      <x:c r="O85" s="12" t="n">
        <x:v>-47.4</x:v>
      </x:c>
      <x:c r="P85" s="11" t="str">
        <x:v>High</x:v>
      </x:c>
      <x:c r="Q85" s="13" t="n">
        <x:v>32</x:v>
      </x:c>
      <x:c r="R85" s="13" t="n">
        <x:v>1</x:v>
      </x:c>
      <x:c r="S85" s="12" t="n">
        <x:v>57.1</x:v>
      </x:c>
      <x:c r="T85" s="12"/>
      <x:c r="U85" s="12" t="n">
        <x:v>0.9</x:v>
      </x:c>
      <x:c r="V85" s="12"/>
      <x:c r="W85" s="12" t="n">
        <x:v>4.3</x:v>
      </x:c>
      <x:c r="X85" s="13" t="n">
        <x:v>13</x:v>
      </x:c>
      <x:c r="Y85" s="11"/>
      <x:c r="Z85" s="11" t="str">
        <x:v>Veteran model: 2025 form, prior-year trend and same team pass/run forecast; team pass volume #32, rush volume #1</x:v>
      </x:c>
    </x:row>
    <x:row r="86" ht="19" customHeight="1">
      <x:c r="A86" s="13" t="n">
        <x:v>82</x:v>
      </x:c>
      <x:c r="B86" s="13" t="n">
        <x:v>195</x:v>
      </x:c>
      <x:c r="C86" s="13" t="n">
        <x:v>196</x:v>
      </x:c>
      <x:c r="D86" s="12" t="n">
        <x:v>228.7</x:v>
      </x:c>
      <x:c r="E86" s="12" t="n">
        <x:v>33.7</x:v>
      </x:c>
      <x:c r="F86" s="12" t="n">
        <x:v>32.7</x:v>
      </x:c>
      <x:c r="G86" s="11" t="str">
        <x:v>Tory Horton</x:v>
      </x:c>
      <x:c r="H86" s="11" t="str">
        <x:v>SEA</x:v>
      </x:c>
      <x:c r="I86" s="13" t="n">
        <x:v>11</x:v>
      </x:c>
      <x:c r="J86" s="12" t="n">
        <x:v>113.4</x:v>
      </x:c>
      <x:c r="K86" s="12" t="n">
        <x:v>92</x:v>
      </x:c>
      <x:c r="L86" s="12" t="n">
        <x:v>21.4</x:v>
      </x:c>
      <x:c r="M86" s="12" t="n">
        <x:v>102.7</x:v>
      </x:c>
      <x:c r="N86" s="12" t="n">
        <x:v>10.5</x:v>
      </x:c>
      <x:c r="O86" s="12" t="n">
        <x:v>-48.9</x:v>
      </x:c>
      <x:c r="P86" s="11" t="str">
        <x:v>Medium</x:v>
      </x:c>
      <x:c r="Q86" s="13" t="n">
        <x:v>23</x:v>
      </x:c>
      <x:c r="R86" s="13" t="n">
        <x:v>21</x:v>
      </x:c>
      <x:c r="S86" s="12" t="n">
        <x:v>65.5</x:v>
      </x:c>
      <x:c r="T86" s="12"/>
      <x:c r="U86" s="12" t="n">
        <x:v>0.9</x:v>
      </x:c>
      <x:c r="V86" s="12" t="n">
        <x:v>1</x:v>
      </x:c>
      <x:c r="W86" s="12" t="n">
        <x:v>8.1</x:v>
      </x:c>
      <x:c r="X86" s="13" t="n">
        <x:v>8</x:v>
      </x:c>
      <x:c r="Y86" s="11" t="str">
        <x:v>Ques</x:v>
      </x:c>
      <x:c r="Z86" s="11" t="str">
        <x:v>Veteran model: 2025 form, prior-year trend and same team pass/run forecast; team pass volume #23, rush volume #21</x:v>
      </x:c>
    </x:row>
    <x:row r="87" ht="19" customHeight="1">
      <x:c r="A87" s="13" t="n">
        <x:v>83</x:v>
      </x:c>
      <x:c r="B87" s="13" t="n">
        <x:v>188</x:v>
      </x:c>
      <x:c r="C87" s="13" t="n">
        <x:v>193</x:v>
      </x:c>
      <x:c r="D87" s="12" t="n">
        <x:v>239.6</x:v>
      </x:c>
      <x:c r="E87" s="12" t="n">
        <x:v>51.6</x:v>
      </x:c>
      <x:c r="F87" s="12" t="n">
        <x:v>46.6</x:v>
      </x:c>
      <x:c r="G87" s="11" t="str">
        <x:v>Ted Hurst</x:v>
      </x:c>
      <x:c r="H87" s="11" t="str">
        <x:v>TB</x:v>
      </x:c>
      <x:c r="I87" s="13" t="n">
        <x:v>10</x:v>
      </x:c>
      <x:c r="J87" s="12" t="n">
        <x:v>113</x:v>
      </x:c>
      <x:c r="K87" s="12" t="n">
        <x:v>98</x:v>
      </x:c>
      <x:c r="L87" s="12" t="n">
        <x:v>15</x:v>
      </x:c>
      <x:c r="M87" s="12" t="n">
        <x:v>101.7</x:v>
      </x:c>
      <x:c r="N87" s="12" t="n">
        <x:v>10</x:v>
      </x:c>
      <x:c r="O87" s="12" t="n">
        <x:v>-47.1</x:v>
      </x:c>
      <x:c r="P87" s="11" t="str">
        <x:v>Low</x:v>
      </x:c>
      <x:c r="Q87" s="13" t="n">
        <x:v>12</x:v>
      </x:c>
      <x:c r="R87" s="13" t="n">
        <x:v>11</x:v>
      </x:c>
      <x:c r="S87" s="12" t="n">
        <x:v>0</x:v>
      </x:c>
      <x:c r="T87" s="12"/>
      <x:c r="U87" s="12" t="n">
        <x:v>0</x:v>
      </x:c>
      <x:c r="V87" s="12" t="n">
        <x:v>2</x:v>
      </x:c>
      <x:c r="W87" s="12"/>
      <x:c r="X87" s="13"/>
      <x:c r="Y87" s="11"/>
      <x:c r="Z87" s="11" t="str">
        <x:v>Rookie model: pick 84, age and destination-team environment; team pass volume #12, rush volume #11</x:v>
      </x:c>
    </x:row>
    <x:row r="88" ht="19" customHeight="1">
      <x:c r="A88" s="13" t="n">
        <x:v>84</x:v>
      </x:c>
      <x:c r="B88" s="13" t="n">
        <x:v>210</x:v>
      </x:c>
      <x:c r="C88" s="13" t="n">
        <x:v>162</x:v>
      </x:c>
      <x:c r="D88" s="12" t="n">
        <x:v>241.5</x:v>
      </x:c>
      <x:c r="E88" s="12" t="n">
        <x:v>31.5</x:v>
      </x:c>
      <x:c r="F88" s="12" t="n">
        <x:v>79.5</x:v>
      </x:c>
      <x:c r="G88" s="11" t="str">
        <x:v>Elic Ayomanor</x:v>
      </x:c>
      <x:c r="H88" s="11" t="str">
        <x:v>TEN</x:v>
      </x:c>
      <x:c r="I88" s="13" t="n">
        <x:v>9</x:v>
      </x:c>
      <x:c r="J88" s="12" t="n">
        <x:v>140.4</x:v>
      </x:c>
      <x:c r="K88" s="12" t="n">
        <x:v>57</x:v>
      </x:c>
      <x:c r="L88" s="12" t="n">
        <x:v>83.4</x:v>
      </x:c>
      <x:c r="M88" s="12" t="n">
        <x:v>98.7</x:v>
      </x:c>
      <x:c r="N88" s="12" t="n">
        <x:v>12</x:v>
      </x:c>
      <x:c r="O88" s="12" t="n">
        <x:v>-58.7</x:v>
      </x:c>
      <x:c r="P88" s="11" t="str">
        <x:v>Medium</x:v>
      </x:c>
      <x:c r="Q88" s="13" t="n">
        <x:v>18</x:v>
      </x:c>
      <x:c r="R88" s="13" t="n">
        <x:v>30</x:v>
      </x:c>
      <x:c r="S88" s="12" t="n">
        <x:v>87.7</x:v>
      </x:c>
      <x:c r="T88" s="12"/>
      <x:c r="U88" s="12" t="n">
        <x:v>1.3</x:v>
      </x:c>
      <x:c r="V88" s="12"/>
      <x:c r="W88" s="12" t="n">
        <x:v>7.3</x:v>
      </x:c>
      <x:c r="X88" s="13" t="n">
        <x:v>16</x:v>
      </x:c>
      <x:c r="Y88" s="11"/>
      <x:c r="Z88" s="11" t="str">
        <x:v>Veteran model: 2025 form, prior-year trend and same team pass/run forecast; team pass volume #18, rush volume #30</x:v>
      </x:c>
    </x:row>
    <x:row r="89" ht="19" customHeight="1">
      <x:c r="A89" s="13" t="n">
        <x:v>85</x:v>
      </x:c>
      <x:c r="B89" s="13" t="n">
        <x:v>214</x:v>
      </x:c>
      <x:c r="C89" s="13" t="n">
        <x:v>216</x:v>
      </x:c>
      <x:c r="D89" s="12" t="n">
        <x:v>219.5</x:v>
      </x:c>
      <x:c r="E89" s="12" t="n">
        <x:v>5.5</x:v>
      </x:c>
      <x:c r="F89" s="12" t="n">
        <x:v>3.5</x:v>
      </x:c>
      <x:c r="G89" s="11" t="str">
        <x:v>Marvin Mims</x:v>
      </x:c>
      <x:c r="H89" s="11" t="str">
        <x:v>DEN</x:v>
      </x:c>
      <x:c r="I89" s="13" t="n">
        <x:v>10</x:v>
      </x:c>
      <x:c r="J89" s="12" t="n">
        <x:v>112.4</x:v>
      </x:c>
      <x:c r="K89" s="12" t="n">
        <x:v>70</x:v>
      </x:c>
      <x:c r="L89" s="12" t="n">
        <x:v>42.4</x:v>
      </x:c>
      <x:c r="M89" s="12" t="n">
        <x:v>97.6</x:v>
      </x:c>
      <x:c r="N89" s="12" t="n">
        <x:v>12.2</x:v>
      </x:c>
      <x:c r="O89" s="12" t="n">
        <x:v>-60.4</x:v>
      </x:c>
      <x:c r="P89" s="11" t="str">
        <x:v>High</x:v>
      </x:c>
      <x:c r="Q89" s="13" t="n">
        <x:v>6</x:v>
      </x:c>
      <x:c r="R89" s="13" t="n">
        <x:v>19</x:v>
      </x:c>
      <x:c r="S89" s="12" t="n">
        <x:v>61.1</x:v>
      </x:c>
      <x:c r="T89" s="12"/>
      <x:c r="U89" s="12" t="n">
        <x:v>10.4</x:v>
      </x:c>
      <x:c r="V89" s="12" t="n">
        <x:v>6</x:v>
      </x:c>
      <x:c r="W89" s="12" t="n">
        <x:v>5.8</x:v>
      </x:c>
      <x:c r="X89" s="13" t="n">
        <x:v>16</x:v>
      </x:c>
      <x:c r="Y89" s="11" t="str">
        <x:v>Ques</x:v>
      </x:c>
      <x:c r="Z89" s="11" t="str">
        <x:v>Veteran model: 2025 form, prior-year trend and same team pass/run forecast; team pass volume #6, rush volume #19</x:v>
      </x:c>
    </x:row>
    <x:row r="90" ht="19" customHeight="1">
      <x:c r="A90" s="13" t="n">
        <x:v>86</x:v>
      </x:c>
      <x:c r="B90" s="13" t="n">
        <x:v>184</x:v>
      </x:c>
      <x:c r="C90" s="13" t="n">
        <x:v>187</x:v>
      </x:c>
      <x:c r="D90" s="12" t="n">
        <x:v>223.2</x:v>
      </x:c>
      <x:c r="E90" s="12" t="n">
        <x:v>39.2</x:v>
      </x:c>
      <x:c r="F90" s="12" t="n">
        <x:v>36.2</x:v>
      </x:c>
      <x:c r="G90" s="11" t="str">
        <x:v>Malachi Fields</x:v>
      </x:c>
      <x:c r="H90" s="11" t="str">
        <x:v>NYG</x:v>
      </x:c>
      <x:c r="I90" s="13" t="n">
        <x:v>8</x:v>
      </x:c>
      <x:c r="J90" s="12" t="n">
        <x:v>110.6</x:v>
      </x:c>
      <x:c r="K90" s="12" t="n">
        <x:v>91</x:v>
      </x:c>
      <x:c r="L90" s="12" t="n">
        <x:v>19.6</x:v>
      </x:c>
      <x:c r="M90" s="12" t="n">
        <x:v>95.9</x:v>
      </x:c>
      <x:c r="N90" s="12" t="n">
        <x:v>9.2</x:v>
      </x:c>
      <x:c r="O90" s="12" t="n">
        <x:v>-46.5</x:v>
      </x:c>
      <x:c r="P90" s="11" t="str">
        <x:v>Low</x:v>
      </x:c>
      <x:c r="Q90" s="13" t="n">
        <x:v>19</x:v>
      </x:c>
      <x:c r="R90" s="13" t="n">
        <x:v>10</x:v>
      </x:c>
      <x:c r="S90" s="12" t="n">
        <x:v>0</x:v>
      </x:c>
      <x:c r="T90" s="12"/>
      <x:c r="U90" s="12" t="n">
        <x:v>0</x:v>
      </x:c>
      <x:c r="V90" s="12" t="n">
        <x:v>1</x:v>
      </x:c>
      <x:c r="W90" s="12"/>
      <x:c r="X90" s="13"/>
      <x:c r="Y90" s="11"/>
      <x:c r="Z90" s="11" t="str">
        <x:v>Rookie model: pick 74, age and destination-team environment; team pass volume #19, rush volume #10</x:v>
      </x:c>
    </x:row>
    <x:row r="91" ht="19" customHeight="1">
      <x:c r="A91" s="13" t="n">
        <x:v>87</x:v>
      </x:c>
      <x:c r="B91" s="13" t="n">
        <x:v>212</x:v>
      </x:c>
      <x:c r="C91" s="13" t="n">
        <x:v>229</x:v>
      </x:c>
      <x:c r="D91" s="12" t="n">
        <x:v>212.4</x:v>
      </x:c>
      <x:c r="E91" s="12" t="n">
        <x:v>0.4</x:v>
      </x:c>
      <x:c r="F91" s="12" t="n">
        <x:v>-16.6</x:v>
      </x:c>
      <x:c r="G91" s="11" t="str">
        <x:v>Isaac TeSlaa</x:v>
      </x:c>
      <x:c r="H91" s="11" t="str">
        <x:v>DET</x:v>
      </x:c>
      <x:c r="I91" s="13" t="n">
        <x:v>6</x:v>
      </x:c>
      <x:c r="J91" s="12" t="n">
        <x:v>98.3</x:v>
      </x:c>
      <x:c r="K91" s="12" t="n">
        <x:v>87</x:v>
      </x:c>
      <x:c r="L91" s="12" t="n">
        <x:v>11.3</x:v>
      </x:c>
      <x:c r="M91" s="12" t="n">
        <x:v>92.7</x:v>
      </x:c>
      <x:c r="N91" s="12" t="n">
        <x:v>11.4</x:v>
      </x:c>
      <x:c r="O91" s="12" t="n">
        <x:v>-59.7</x:v>
      </x:c>
      <x:c r="P91" s="11" t="str">
        <x:v>Medium</x:v>
      </x:c>
      <x:c r="Q91" s="13" t="n">
        <x:v>10</x:v>
      </x:c>
      <x:c r="R91" s="13" t="n">
        <x:v>7</x:v>
      </x:c>
      <x:c r="S91" s="12" t="n">
        <x:v>55.2</x:v>
      </x:c>
      <x:c r="T91" s="12"/>
      <x:c r="U91" s="12" t="n">
        <x:v>1.3</x:v>
      </x:c>
      <x:c r="V91" s="12" t="n">
        <x:v>2</x:v>
      </x:c>
      <x:c r="W91" s="12" t="n">
        <x:v>4.5</x:v>
      </x:c>
      <x:c r="X91" s="13" t="n">
        <x:v>17</x:v>
      </x:c>
      <x:c r="Y91" s="11"/>
      <x:c r="Z91" s="11" t="str">
        <x:v>Veteran model: 2025 form, prior-year trend and same team pass/run forecast; team pass volume #10, rush volume #7</x:v>
      </x:c>
    </x:row>
    <x:row r="92" ht="19" customHeight="1">
      <x:c r="A92" s="13" t="n">
        <x:v>88</x:v>
      </x:c>
      <x:c r="B92" s="13" t="n">
        <x:v>201</x:v>
      </x:c>
      <x:c r="C92" s="13" t="n">
        <x:v>206</x:v>
      </x:c>
      <x:c r="D92" s="12" t="n">
        <x:v>238.2</x:v>
      </x:c>
      <x:c r="E92" s="12" t="n">
        <x:v>37.2</x:v>
      </x:c>
      <x:c r="F92" s="12" t="n">
        <x:v>32.2</x:v>
      </x:c>
      <x:c r="G92" s="11" t="str">
        <x:v>Jack Bech</x:v>
      </x:c>
      <x:c r="H92" s="11" t="str">
        <x:v>LV</x:v>
      </x:c>
      <x:c r="I92" s="13" t="n">
        <x:v>13</x:v>
      </x:c>
      <x:c r="J92" s="12" t="n">
        <x:v>102.4</x:v>
      </x:c>
      <x:c r="K92" s="12" t="n">
        <x:v>78</x:v>
      </x:c>
      <x:c r="L92" s="12" t="n">
        <x:v>24.4</x:v>
      </x:c>
      <x:c r="M92" s="12" t="n">
        <x:v>90.2</x:v>
      </x:c>
      <x:c r="N92" s="12" t="n">
        <x:v>10</x:v>
      </x:c>
      <x:c r="O92" s="12" t="n">
        <x:v>-53.9</x:v>
      </x:c>
      <x:c r="P92" s="11" t="str">
        <x:v>Medium</x:v>
      </x:c>
      <x:c r="Q92" s="13" t="n">
        <x:v>15</x:v>
      </x:c>
      <x:c r="R92" s="13" t="n">
        <x:v>32</x:v>
      </x:c>
      <x:c r="S92" s="12" t="n">
        <x:v>62.4</x:v>
      </x:c>
      <x:c r="T92" s="12"/>
      <x:c r="U92" s="12" t="n">
        <x:v>1.8</x:v>
      </x:c>
      <x:c r="V92" s="12" t="n">
        <x:v>1</x:v>
      </x:c>
      <x:c r="W92" s="12" t="n">
        <x:v>2.7</x:v>
      </x:c>
      <x:c r="X92" s="13" t="n">
        <x:v>16</x:v>
      </x:c>
      <x:c r="Y92" s="11"/>
      <x:c r="Z92" s="11" t="str">
        <x:v>Veteran model: 2025 form, prior-year trend and same team pass/run forecast; team pass volume #15, rush volume #32</x:v>
      </x:c>
    </x:row>
    <x:row r="93" ht="19" customHeight="1">
      <x:c r="A93" s="13" t="n">
        <x:v>89</x:v>
      </x:c>
      <x:c r="B93" s="13" t="n">
        <x:v>198</x:v>
      </x:c>
      <x:c r="C93" s="13" t="n">
        <x:v>185</x:v>
      </x:c>
      <x:c r="D93" s="12" t="n">
        <x:v>188.2</x:v>
      </x:c>
      <x:c r="E93" s="12" t="n">
        <x:v>-9.8</x:v>
      </x:c>
      <x:c r="F93" s="12" t="n">
        <x:v>3.2</x:v>
      </x:c>
      <x:c r="G93" s="11" t="str">
        <x:v>Zachariah Branch</x:v>
      </x:c>
      <x:c r="H93" s="11" t="str">
        <x:v>ATL</x:v>
      </x:c>
      <x:c r="I93" s="13" t="n">
        <x:v>11</x:v>
      </x:c>
      <x:c r="J93" s="12" t="n">
        <x:v>112.8</x:v>
      </x:c>
      <x:c r="K93" s="12" t="n">
        <x:v>79</x:v>
      </x:c>
      <x:c r="L93" s="12" t="n">
        <x:v>33.8</x:v>
      </x:c>
      <x:c r="M93" s="12" t="n">
        <x:v>87.5</x:v>
      </x:c>
      <x:c r="N93" s="12" t="n">
        <x:v>9.4</x:v>
      </x:c>
      <x:c r="O93" s="12" t="n">
        <x:v>-52.1</x:v>
      </x:c>
      <x:c r="P93" s="11" t="str">
        <x:v>Low</x:v>
      </x:c>
      <x:c r="Q93" s="13" t="n">
        <x:v>17</x:v>
      </x:c>
      <x:c r="R93" s="13" t="n">
        <x:v>5</x:v>
      </x:c>
      <x:c r="S93" s="12" t="n">
        <x:v>0</x:v>
      </x:c>
      <x:c r="T93" s="12"/>
      <x:c r="U93" s="12" t="n">
        <x:v>0</x:v>
      </x:c>
      <x:c r="V93" s="12"/>
      <x:c r="W93" s="12"/>
      <x:c r="X93" s="13"/>
      <x:c r="Y93" s="11"/>
      <x:c r="Z93" s="11" t="str">
        <x:v>Rookie model: pick 79, age and destination-team environment; team pass volume #17, rush volume #5</x:v>
      </x:c>
    </x:row>
    <x:row r="94" ht="19" customHeight="1">
      <x:c r="A94" s="13" t="n">
        <x:v>90</x:v>
      </x:c>
      <x:c r="B94" s="13" t="n">
        <x:v>165</x:v>
      </x:c>
      <x:c r="C94" s="13" t="n">
        <x:v>211</x:v>
      </x:c>
      <x:c r="D94" s="12" t="n">
        <x:v>198.2</x:v>
      </x:c>
      <x:c r="E94" s="12" t="n">
        <x:v>33.2</x:v>
      </x:c>
      <x:c r="F94" s="12" t="n">
        <x:v>-12.8</x:v>
      </x:c>
      <x:c r="G94" s="11" t="str">
        <x:v>Cyrus Allen</x:v>
      </x:c>
      <x:c r="H94" s="11" t="str">
        <x:v>KC</x:v>
      </x:c>
      <x:c r="I94" s="13" t="n">
        <x:v>5</x:v>
      </x:c>
      <x:c r="J94" s="12" t="n">
        <x:v>60.6</x:v>
      </x:c>
      <x:c r="K94" s="12" t="n">
        <x:v>95</x:v>
      </x:c>
      <x:c r="L94" s="12" t="n">
        <x:v>-34.4</x:v>
      </x:c>
      <x:c r="M94" s="12" t="n">
        <x:v>86.4</x:v>
      </x:c>
      <x:c r="N94" s="12" t="n">
        <x:v>6.7</x:v>
      </x:c>
      <x:c r="O94" s="12" t="n">
        <x:v>-37.6</x:v>
      </x:c>
      <x:c r="P94" s="11" t="str">
        <x:v>Low</x:v>
      </x:c>
      <x:c r="Q94" s="13" t="n">
        <x:v>5</x:v>
      </x:c>
      <x:c r="R94" s="13" t="n">
        <x:v>25</x:v>
      </x:c>
      <x:c r="S94" s="12" t="n">
        <x:v>0</x:v>
      </x:c>
      <x:c r="T94" s="12"/>
      <x:c r="U94" s="12" t="n">
        <x:v>0</x:v>
      </x:c>
      <x:c r="V94" s="12"/>
      <x:c r="W94" s="12"/>
      <x:c r="X94" s="13"/>
      <x:c r="Y94" s="11"/>
      <x:c r="Z94" s="11" t="str">
        <x:v>Rookie model: pick 176, age and destination-team environment; team pass volume #5, rush volume #25</x:v>
      </x:c>
    </x:row>
    <x:row r="95" ht="19" customHeight="1">
      <x:c r="A95" s="13" t="n">
        <x:v>91</x:v>
      </x:c>
      <x:c r="B95" s="13" t="n">
        <x:v>209</x:v>
      </x:c>
      <x:c r="C95" s="13" t="n">
        <x:v>195</x:v>
      </x:c>
      <x:c r="D95" s="12" t="n">
        <x:v>218.7</x:v>
      </x:c>
      <x:c r="E95" s="12" t="n">
        <x:v>9.7</x:v>
      </x:c>
      <x:c r="F95" s="12" t="n">
        <x:v>23.7</x:v>
      </x:c>
      <x:c r="G95" s="11" t="str">
        <x:v>Antonio Williams</x:v>
      </x:c>
      <x:c r="H95" s="11" t="str">
        <x:v>WAS</x:v>
      </x:c>
      <x:c r="I95" s="13" t="n">
        <x:v>7</x:v>
      </x:c>
      <x:c r="J95" s="12" t="n">
        <x:v>112</x:v>
      </x:c>
      <x:c r="K95" s="12" t="n">
        <x:v>75</x:v>
      </x:c>
      <x:c r="L95" s="12" t="n">
        <x:v>37</x:v>
      </x:c>
      <x:c r="M95" s="12" t="n">
        <x:v>84.2</x:v>
      </x:c>
      <x:c r="N95" s="12" t="n">
        <x:v>10.2</x:v>
      </x:c>
      <x:c r="O95" s="12" t="n">
        <x:v>-58.6</x:v>
      </x:c>
      <x:c r="P95" s="11" t="str">
        <x:v>Low</x:v>
      </x:c>
      <x:c r="Q95" s="13" t="n">
        <x:v>29</x:v>
      </x:c>
      <x:c r="R95" s="13" t="n">
        <x:v>8</x:v>
      </x:c>
      <x:c r="S95" s="12" t="n">
        <x:v>0</x:v>
      </x:c>
      <x:c r="T95" s="12"/>
      <x:c r="U95" s="12" t="n">
        <x:v>0</x:v>
      </x:c>
      <x:c r="V95" s="12" t="n">
        <x:v>2</x:v>
      </x:c>
      <x:c r="W95" s="12"/>
      <x:c r="X95" s="13"/>
      <x:c r="Y95" s="11"/>
      <x:c r="Z95" s="11" t="str">
        <x:v>Rookie model: pick 71, age and destination-team environment; team pass volume #29, rush volume #8</x:v>
      </x:c>
    </x:row>
    <x:row r="96" ht="19" customHeight="1">
      <x:c r="A96" s="13" t="n">
        <x:v>92</x:v>
      </x:c>
      <x:c r="B96" s="13" t="n">
        <x:v>206</x:v>
      </x:c>
      <x:c r="C96" s="13" t="n">
        <x:v>178</x:v>
      </x:c>
      <x:c r="D96" s="12" t="n">
        <x:v>240.9</x:v>
      </x:c>
      <x:c r="E96" s="12" t="n">
        <x:v>34.9</x:v>
      </x:c>
      <x:c r="F96" s="12" t="n">
        <x:v>62.9</x:v>
      </x:c>
      <x:c r="G96" s="11" t="str">
        <x:v>Chris Bell</x:v>
      </x:c>
      <x:c r="H96" s="11" t="str">
        <x:v>MIA</x:v>
      </x:c>
      <x:c r="I96" s="13" t="n">
        <x:v>6</x:v>
      </x:c>
      <x:c r="J96" s="12" t="n">
        <x:v>115.5</x:v>
      </x:c>
      <x:c r="K96" s="12" t="n">
        <x:v>67</x:v>
      </x:c>
      <x:c r="L96" s="12" t="n">
        <x:v>48.5</x:v>
      </x:c>
      <x:c r="M96" s="12" t="n">
        <x:v>79.1</x:v>
      </x:c>
      <x:c r="N96" s="12" t="n">
        <x:v>9.3</x:v>
      </x:c>
      <x:c r="O96" s="12" t="n">
        <x:v>-56.2</x:v>
      </x:c>
      <x:c r="P96" s="11" t="str">
        <x:v>Low</x:v>
      </x:c>
      <x:c r="Q96" s="13" t="n">
        <x:v>25</x:v>
      </x:c>
      <x:c r="R96" s="13" t="n">
        <x:v>24</x:v>
      </x:c>
      <x:c r="S96" s="12" t="n">
        <x:v>0</x:v>
      </x:c>
      <x:c r="T96" s="12"/>
      <x:c r="U96" s="12" t="n">
        <x:v>0</x:v>
      </x:c>
      <x:c r="V96" s="12" t="n">
        <x:v>1</x:v>
      </x:c>
      <x:c r="W96" s="12"/>
      <x:c r="X96" s="13"/>
      <x:c r="Y96" s="11" t="str">
        <x:v>Ques</x:v>
      </x:c>
      <x:c r="Z96" s="11" t="str">
        <x:v>Rookie model: pick 94, age and destination-team environment; team pass volume #25, rush volume #24</x:v>
      </x:c>
    </x:row>
    <x:row r="97" ht="19" customHeight="1">
      <x:c r="A97" s="13" t="n">
        <x:v>93</x:v>
      </x:c>
      <x:c r="B97" s="13" t="n">
        <x:v>231</x:v>
      </x:c>
      <x:c r="C97" s="13" t="n">
        <x:v>149</x:v>
      </x:c>
      <x:c r="D97" s="12" t="n">
        <x:v>148.7</x:v>
      </x:c>
      <x:c r="E97" s="12" t="n">
        <x:v>-82.3</x:v>
      </x:c>
      <x:c r="F97" s="12" t="n">
        <x:v>-0.3</x:v>
      </x:c>
      <x:c r="G97" s="11" t="str">
        <x:v>Jayden Higgins</x:v>
      </x:c>
      <x:c r="H97" s="11" t="str">
        <x:v>HOU</x:v>
      </x:c>
      <x:c r="I97" s="13" t="n">
        <x:v>8</x:v>
      </x:c>
      <x:c r="J97" s="12" t="n">
        <x:v>148.1</x:v>
      </x:c>
      <x:c r="K97" s="12" t="n">
        <x:v>0</x:v>
      </x:c>
      <x:c r="L97" s="12" t="n">
        <x:v>148.1</x:v>
      </x:c>
      <x:c r="M97" s="12" t="n">
        <x:v>74.1</x:v>
      </x:c>
      <x:c r="N97" s="12" t="n">
        <x:v>12.5</x:v>
      </x:c>
      <x:c r="O97" s="12" t="n">
        <x:v>-79.2</x:v>
      </x:c>
      <x:c r="P97" s="11" t="str">
        <x:v>Medium</x:v>
      </x:c>
      <x:c r="Q97" s="13" t="n">
        <x:v>9</x:v>
      </x:c>
      <x:c r="R97" s="13" t="n">
        <x:v>17</x:v>
      </x:c>
      <x:c r="S97" s="12" t="n">
        <x:v>85.9</x:v>
      </x:c>
      <x:c r="T97" s="12"/>
      <x:c r="U97" s="12" t="n">
        <x:v>1.6</x:v>
      </x:c>
      <x:c r="V97" s="12"/>
      <x:c r="W97" s="12" t="n">
        <x:v>7.6</x:v>
      </x:c>
      <x:c r="X97" s="13" t="n">
        <x:v>17</x:v>
      </x:c>
      <x:c r="Y97" s="11" t="str">
        <x:v>IR</x:v>
      </x:c>
      <x:c r="Z97" s="11" t="str">
        <x:v>Veteran model: 2025 form, prior-year trend and same team pass/run forecast; team pass volume #9, rush volume #17</x:v>
      </x:c>
    </x:row>
    <x:row r="98" ht="19" customHeight="1">
      <x:c r="A98" s="13" t="n">
        <x:v>94</x:v>
      </x:c>
      <x:c r="B98" s="13" t="n">
        <x:v>217</x:v>
      </x:c>
      <x:c r="C98" s="13" t="n">
        <x:v>223</x:v>
      </x:c>
      <x:c r="D98" s="12" t="n">
        <x:v>229.2</x:v>
      </x:c>
      <x:c r="E98" s="12" t="n">
        <x:v>12.2</x:v>
      </x:c>
      <x:c r="F98" s="12" t="n">
        <x:v>6.2</x:v>
      </x:c>
      <x:c r="G98" s="11" t="str">
        <x:v>Elijah Sarratt</x:v>
      </x:c>
      <x:c r="H98" s="11" t="str">
        <x:v>BAL</x:v>
      </x:c>
      <x:c r="I98" s="13" t="n">
        <x:v>13</x:v>
      </x:c>
      <x:c r="J98" s="12" t="n">
        <x:v>79.8</x:v>
      </x:c>
      <x:c r="K98" s="12" t="n">
        <x:v>61</x:v>
      </x:c>
      <x:c r="L98" s="12" t="n">
        <x:v>18.8</x:v>
      </x:c>
      <x:c r="M98" s="12" t="n">
        <x:v>65.7</x:v>
      </x:c>
      <x:c r="N98" s="12" t="n">
        <x:v>9</x:v>
      </x:c>
      <x:c r="O98" s="12" t="n">
        <x:v>-61.5</x:v>
      </x:c>
      <x:c r="P98" s="11" t="str">
        <x:v>Low</x:v>
      </x:c>
      <x:c r="Q98" s="13" t="n">
        <x:v>32</x:v>
      </x:c>
      <x:c r="R98" s="13" t="n">
        <x:v>1</x:v>
      </x:c>
      <x:c r="S98" s="12" t="n">
        <x:v>0</x:v>
      </x:c>
      <x:c r="T98" s="12"/>
      <x:c r="U98" s="12" t="n">
        <x:v>0</x:v>
      </x:c>
      <x:c r="V98" s="12" t="n">
        <x:v>1</x:v>
      </x:c>
      <x:c r="W98" s="12"/>
      <x:c r="X98" s="13"/>
      <x:c r="Y98" s="11"/>
      <x:c r="Z98" s="11" t="str">
        <x:v>Rookie model: pick 115, age and destination-team environment; team pass volume #32, rush volume #1</x:v>
      </x:c>
    </x:row>
    <x:row r="99" ht="19" customHeight="1">
      <x:c r="A99" s="13" t="n">
        <x:v>95</x:v>
      </x:c>
      <x:c r="B99" s="13" t="n">
        <x:v>221</x:v>
      </x:c>
      <x:c r="C99" s="13" t="n">
        <x:v>222</x:v>
      </x:c>
      <x:c r="D99" s="12" t="n">
        <x:v>241.7</x:v>
      </x:c>
      <x:c r="E99" s="12" t="n">
        <x:v>20.7</x:v>
      </x:c>
      <x:c r="F99" s="12" t="n">
        <x:v>19.7</x:v>
      </x:c>
      <x:c r="G99" s="11" t="str">
        <x:v>Christian Kirk</x:v>
      </x:c>
      <x:c r="H99" s="11" t="str">
        <x:v>SF</x:v>
      </x:c>
      <x:c r="I99" s="13" t="n">
        <x:v>8</x:v>
      </x:c>
      <x:c r="J99" s="12" t="n">
        <x:v>81.3</x:v>
      </x:c>
      <x:c r="K99" s="12" t="n">
        <x:v>46</x:v>
      </x:c>
      <x:c r="L99" s="12" t="n">
        <x:v>35.3</x:v>
      </x:c>
      <x:c r="M99" s="12" t="n">
        <x:v>63.7</x:v>
      </x:c>
      <x:c r="N99" s="12" t="n">
        <x:v>9.1</x:v>
      </x:c>
      <x:c r="O99" s="12" t="n">
        <x:v>-63.2</x:v>
      </x:c>
      <x:c r="P99" s="11" t="str">
        <x:v>Medium</x:v>
      </x:c>
      <x:c r="Q99" s="13" t="n">
        <x:v>16</x:v>
      </x:c>
      <x:c r="R99" s="13" t="n">
        <x:v>9</x:v>
      </x:c>
      <x:c r="S99" s="12" t="n">
        <x:v>51.9</x:v>
      </x:c>
      <x:c r="T99" s="12"/>
      <x:c r="U99" s="12" t="n">
        <x:v>0.5</x:v>
      </x:c>
      <x:c r="V99" s="12" t="n">
        <x:v>1</x:v>
      </x:c>
      <x:c r="W99" s="12" t="n">
        <x:v>4.5</x:v>
      </x:c>
      <x:c r="X99" s="13" t="n">
        <x:v>13</x:v>
      </x:c>
      <x:c r="Y99" s="11" t="str">
        <x:v>Ques</x:v>
      </x:c>
      <x:c r="Z99" s="11" t="str">
        <x:v>Veteran model: 2025 form, prior-year trend and new team pass/run forecast; team pass volume #16, rush volume #9</x:v>
      </x:c>
    </x:row>
    <x:row r="100" ht="19" customHeight="1">
      <x:c r="A100" s="13" t="n">
        <x:v>96</x:v>
      </x:c>
      <x:c r="B100" s="13" t="n">
        <x:v>233</x:v>
      </x:c>
      <x:c r="C100" s="13" t="n">
        <x:v>231</x:v>
      </x:c>
      <x:c r="D100" s="12" t="n">
        <x:v>222.1</x:v>
      </x:c>
      <x:c r="E100" s="12" t="n">
        <x:v>-10.9</x:v>
      </x:c>
      <x:c r="F100" s="12" t="n">
        <x:v>-8.9</x:v>
      </x:c>
      <x:c r="G100" s="11" t="str">
        <x:v>Kyle Williams</x:v>
      </x:c>
      <x:c r="H100" s="11" t="str">
        <x:v>NE</x:v>
      </x:c>
      <x:c r="I100" s="13" t="n">
        <x:v>11</x:v>
      </x:c>
      <x:c r="J100" s="12" t="n">
        <x:v>94.2</x:v>
      </x:c>
      <x:c r="K100" s="12" t="n">
        <x:v>31</x:v>
      </x:c>
      <x:c r="L100" s="12" t="n">
        <x:v>63.2</x:v>
      </x:c>
      <x:c r="M100" s="12" t="n">
        <x:v>62.6</x:v>
      </x:c>
      <x:c r="N100" s="12" t="n">
        <x:v>11.4</x:v>
      </x:c>
      <x:c r="O100" s="12" t="n">
        <x:v>-79.9</x:v>
      </x:c>
      <x:c r="P100" s="11" t="str">
        <x:v>Medium</x:v>
      </x:c>
      <x:c r="Q100" s="13" t="n">
        <x:v>27</x:v>
      </x:c>
      <x:c r="R100" s="13" t="n">
        <x:v>12</x:v>
      </x:c>
      <x:c r="S100" s="12" t="n">
        <x:v>53</x:v>
      </x:c>
      <x:c r="T100" s="12"/>
      <x:c r="U100" s="12" t="n">
        <x:v>2.2</x:v>
      </x:c>
      <x:c r="V100" s="12" t="n">
        <x:v>1</x:v>
      </x:c>
      <x:c r="W100" s="12" t="n">
        <x:v>2.9</x:v>
      </x:c>
      <x:c r="X100" s="13" t="n">
        <x:v>17</x:v>
      </x:c>
      <x:c r="Y100" s="11"/>
      <x:c r="Z100" s="11" t="str">
        <x:v>Veteran model: 2025 form, prior-year trend and same team pass/run forecast; team pass volume #27, rush volume #12</x:v>
      </x:c>
    </x:row>
  </x:sheetData>
  <x:mergeCells>
    <x:mergeCell ref="A1:Z1"/>
    <x:mergeCell ref="A2:Z2"/>
  </x:mergeCells>
  <x:conditionalFormatting sqref="E5:F100">
    <x:cfRule type="colorScale" priority="1">
      <x:colorScale>
        <x:cfvo type="min"/>
        <x:cfvo type="percentile" val="50"/>
        <x:cfvo type="max"/>
        <x:color rgb="FFE67C73"/>
        <x:color rgb="FFFFF0C2"/>
        <x:color rgb="FF63BE7B"/>
      </x:colorScale>
    </x:cfRule>
  </x:conditionalFormatting>
  <x:conditionalFormatting sqref="J5:O100">
    <x:cfRule type="colorScale" priority="2">
      <x:colorScale>
        <x:cfvo type="min"/>
        <x:cfvo type="percentile" val="50"/>
        <x:cfvo type="max"/>
        <x:color rgb="FFE67C73"/>
        <x:color rgb="FFFFF0C2"/>
        <x:color rgb="FF63BE7B"/>
      </x:colorScale>
    </x:cfRule>
  </x:conditionalFormatting>
  <x:conditionalFormatting sqref="P5:P100">
    <x:cfRule type="containsText" dxfId="46" priority="3" operator="containsText" text="High"/>
    <x:cfRule type="containsText" dxfId="47" priority="4" operator="containsText" text="Medium"/>
    <x:cfRule type="containsText" dxfId="48" priority="5" operator="containsText" text="Low"/>
  </x:conditionalFormatting>
  <x:conditionalFormatting sqref="Y5:Y100">
    <x:cfRule type="notContainsBlanks" dxfId="49" priority="6"/>
  </x:conditionalFormatting>
  <x:pageMargins left="0.7" right="0.7" top="0.75" bottom="0.75" header="0.3" footer="0.3"/>
  <x:tableParts count="1">
    <x:tablePart xmlns:r="http://schemas.openxmlformats.org/officeDocument/2006/relationships" r:id="R54178d02da844ab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11" hidden="0" customWidth="1"/>
    <x:col min="4" max="4" width="8" hidden="0" customWidth="1"/>
    <x:col min="5" max="5" width="10" hidden="0" customWidth="1"/>
    <x:col min="6" max="6" width="9" hidden="0" customWidth="1"/>
    <x:col min="7" max="7" width="24" hidden="0" customWidth="1"/>
    <x:col min="8" max="8" width="8" hidden="0" customWidth="1"/>
    <x:col min="9" max="9" width="7" hidden="0" customWidth="1"/>
    <x:col min="10" max="10" width="10" hidden="0" customWidth="1"/>
    <x:col min="11" max="11" width="10" hidden="0" customWidth="1"/>
    <x:col min="12" max="12" width="10" hidden="0" customWidth="1"/>
    <x:col min="13" max="13" width="11" hidden="0" customWidth="1"/>
    <x:col min="14" max="14" width="8" hidden="0" customWidth="1"/>
    <x:col min="15" max="15" width="9" hidden="0" customWidth="1"/>
    <x:col min="16" max="16" width="11" hidden="0" customWidth="1"/>
    <x:col min="17" max="17" width="10" hidden="0" customWidth="1"/>
    <x:col min="18" max="18" width="10" hidden="0" customWidth="1"/>
    <x:col min="19" max="19" width="12" hidden="0" customWidth="1"/>
    <x:col min="20" max="20" width="14" hidden="0" customWidth="1"/>
    <x:col min="21" max="21" width="12" hidden="0" customWidth="1"/>
    <x:col min="22" max="22" width="14" hidden="0" customWidth="1"/>
    <x:col min="23" max="23" width="10" hidden="0" customWidth="1"/>
    <x:col min="24" max="24" width="9" hidden="0" customWidth="1"/>
    <x:col min="25" max="25" width="10" hidden="0" customWidth="1"/>
    <x:col min="26" max="26" width="52" hidden="0" customWidth="1"/>
  </x:cols>
  <x:sheetData>
    <x:row r="1" ht="32" customHeight="1">
      <x:c r="A1" s="3" t="str">
        <x:v>TE POSITION BOARD</x:v>
      </x:c>
    </x:row>
    <x:row r="2" ht="26" customHeight="1">
      <x:c r="A2" s="7" t="str">
        <x:v>Own projection, Sleeper comparison, team environment and expected opportunity | decision replacement: 13</x:v>
      </x:c>
    </x:row>
    <x:row r="4" ht="25" customHeight="1">
      <x:c r="A4" s="11" t="str">
        <x:v>Pos Rank</x:v>
      </x:c>
      <x:c r="B4" s="11" t="str">
        <x:v>Decision</x:v>
      </x:c>
      <x:c r="C4" s="11" t="str">
        <x:v>Independent</x:v>
      </x:c>
      <x:c r="D4" s="11" t="str">
        <x:v>ADP</x:v>
      </x:c>
      <x:c r="E4" s="11" t="str">
        <x:v>Draft Gap</x:v>
      </x:c>
      <x:c r="F4" s="11" t="str">
        <x:v>Ind Gap</x:v>
      </x:c>
      <x:c r="G4" s="11" t="str">
        <x:v>Player</x:v>
      </x:c>
      <x:c r="H4" s="11" t="str">
        <x:v>Team</x:v>
      </x:c>
      <x:c r="I4" s="11" t="str">
        <x:v>Bye</x:v>
      </x:c>
      <x:c r="J4" s="11" t="str">
        <x:v>Our 17G</x:v>
      </x:c>
      <x:c r="K4" s="11" t="str">
        <x:v>Sleeper</x:v>
      </x:c>
      <x:c r="L4" s="11" t="str">
        <x:v>Proj Gap</x:v>
      </x:c>
      <x:c r="M4" s="11" t="str">
        <x:v>Decision Pts</x:v>
      </x:c>
      <x:c r="N4" s="11" t="str">
        <x:v>Exp G</x:v>
      </x:c>
      <x:c r="O4" s="11" t="str">
        <x:v>VBD</x:v>
      </x:c>
      <x:c r="P4" s="11" t="str">
        <x:v>Confidence</x:v>
      </x:c>
      <x:c r="Q4" s="11" t="str">
        <x:v>Pass Rank</x:v>
      </x:c>
      <x:c r="R4" s="11" t="str">
        <x:v>Rush Rank</x:v>
      </x:c>
      <x:c r="S4" s="11" t="str">
        <x:v>Own Targets</x:v>
      </x:c>
      <x:c r="T4" s="11" t="str">
        <x:v>Sleeper Targets</x:v>
      </x:c>
      <x:c r="U4" s="11" t="str">
        <x:v>Own Carries</x:v>
      </x:c>
      <x:c r="V4" s="11" t="str">
        <x:v>Sleeper Carries</x:v>
      </x:c>
      <x:c r="W4" s="11" t="str">
        <x:v>2025 PPG</x:v>
      </x:c>
      <x:c r="X4" s="11" t="str">
        <x:v>2025 G</x:v>
      </x:c>
      <x:c r="Y4" s="11" t="str">
        <x:v>Injury</x:v>
      </x:c>
      <x:c r="Z4" s="11" t="str">
        <x:v>Why</x:v>
      </x:c>
    </x:row>
    <x:row r="5" ht="19" customHeight="1">
      <x:c r="A5" s="13" t="n">
        <x:v>1</x:v>
      </x:c>
      <x:c r="B5" s="13" t="n">
        <x:v>10</x:v>
      </x:c>
      <x:c r="C5" s="13" t="n">
        <x:v>11</x:v>
      </x:c>
      <x:c r="D5" s="12" t="n">
        <x:v>20.1</x:v>
      </x:c>
      <x:c r="E5" s="12" t="n">
        <x:v>10.1</x:v>
      </x:c>
      <x:c r="F5" s="12" t="n">
        <x:v>9.1</x:v>
      </x:c>
      <x:c r="G5" s="11" t="str">
        <x:v>Trey McBride</x:v>
      </x:c>
      <x:c r="H5" s="11" t="str">
        <x:v>ARI</x:v>
      </x:c>
      <x:c r="I5" s="13" t="n">
        <x:v>14</x:v>
      </x:c>
      <x:c r="J5" s="12" t="n">
        <x:v>238.6</x:v>
      </x:c>
      <x:c r="K5" s="12" t="n">
        <x:v>235</x:v>
      </x:c>
      <x:c r="L5" s="12" t="n">
        <x:v>3.6</x:v>
      </x:c>
      <x:c r="M5" s="12" t="n">
        <x:v>237.3</x:v>
      </x:c>
      <x:c r="N5" s="12" t="n">
        <x:v>16.2</x:v>
      </x:c>
      <x:c r="O5" s="12" t="n">
        <x:v>80.1</x:v>
      </x:c>
      <x:c r="P5" s="11" t="str">
        <x:v>High</x:v>
      </x:c>
      <x:c r="Q5" s="13" t="n">
        <x:v>3</x:v>
      </x:c>
      <x:c r="R5" s="13" t="n">
        <x:v>29</x:v>
      </x:c>
      <x:c r="S5" s="12" t="n">
        <x:v>141.5</x:v>
      </x:c>
      <x:c r="T5" s="12"/>
      <x:c r="U5" s="12" t="n">
        <x:v>0</x:v>
      </x:c>
      <x:c r="V5" s="12"/>
      <x:c r="W5" s="12" t="n">
        <x:v>18.6</x:v>
      </x:c>
      <x:c r="X5" s="13" t="n">
        <x:v>17</x:v>
      </x:c>
      <x:c r="Y5" s="11"/>
      <x:c r="Z5" s="11" t="str">
        <x:v>Veteran model: 2025 form, prior-year trend and same team pass/run forecast; team pass volume #3, rush volume #29</x:v>
      </x:c>
    </x:row>
    <x:row r="6" ht="19" customHeight="1">
      <x:c r="A6" s="13" t="n">
        <x:v>2</x:v>
      </x:c>
      <x:c r="B6" s="13" t="n">
        <x:v>11</x:v>
      </x:c>
      <x:c r="C6" s="13" t="n">
        <x:v>16</x:v>
      </x:c>
      <x:c r="D6" s="12" t="n">
        <x:v>22.1</x:v>
      </x:c>
      <x:c r="E6" s="12" t="n">
        <x:v>11.1</x:v>
      </x:c>
      <x:c r="F6" s="12" t="n">
        <x:v>6.1</x:v>
      </x:c>
      <x:c r="G6" s="11" t="str">
        <x:v>Brock Bowers</x:v>
      </x:c>
      <x:c r="H6" s="11" t="str">
        <x:v>LV</x:v>
      </x:c>
      <x:c r="I6" s="13" t="n">
        <x:v>13</x:v>
      </x:c>
      <x:c r="J6" s="12" t="n">
        <x:v>216.4</x:v>
      </x:c>
      <x:c r="K6" s="12" t="n">
        <x:v>254</x:v>
      </x:c>
      <x:c r="L6" s="12" t="n">
        <x:v>-37.6</x:v>
      </x:c>
      <x:c r="M6" s="12" t="n">
        <x:v>229.6</x:v>
      </x:c>
      <x:c r="N6" s="12" t="n">
        <x:v>16.2</x:v>
      </x:c>
      <x:c r="O6" s="12" t="n">
        <x:v>72.8</x:v>
      </x:c>
      <x:c r="P6" s="11" t="str">
        <x:v>High</x:v>
      </x:c>
      <x:c r="Q6" s="13" t="n">
        <x:v>15</x:v>
      </x:c>
      <x:c r="R6" s="13" t="n">
        <x:v>32</x:v>
      </x:c>
      <x:c r="S6" s="12" t="n">
        <x:v>121.9</x:v>
      </x:c>
      <x:c r="T6" s="12"/>
      <x:c r="U6" s="12" t="n">
        <x:v>1.4</x:v>
      </x:c>
      <x:c r="V6" s="12" t="n">
        <x:v>4</x:v>
      </x:c>
      <x:c r="W6" s="12" t="n">
        <x:v>14.7</x:v>
      </x:c>
      <x:c r="X6" s="13" t="n">
        <x:v>12</x:v>
      </x:c>
      <x:c r="Y6" s="11"/>
      <x:c r="Z6" s="11" t="str">
        <x:v>Veteran model: 2025 form, prior-year trend and same team pass/run forecast; team pass volume #15, rush volume #32</x:v>
      </x:c>
    </x:row>
    <x:row r="7" ht="19" customHeight="1">
      <x:c r="A7" s="13" t="n">
        <x:v>3</x:v>
      </x:c>
      <x:c r="B7" s="13" t="n">
        <x:v>28</x:v>
      </x:c>
      <x:c r="C7" s="13" t="n">
        <x:v>21</x:v>
      </x:c>
      <x:c r="D7" s="12" t="n">
        <x:v>68.2</x:v>
      </x:c>
      <x:c r="E7" s="12" t="n">
        <x:v>40.2</x:v>
      </x:c>
      <x:c r="F7" s="12" t="n">
        <x:v>47.2</x:v>
      </x:c>
      <x:c r="G7" s="11" t="str">
        <x:v>Kyle Pitts</x:v>
      </x:c>
      <x:c r="H7" s="11" t="str">
        <x:v>ATL</x:v>
      </x:c>
      <x:c r="I7" s="13" t="n">
        <x:v>11</x:v>
      </x:c>
      <x:c r="J7" s="12" t="n">
        <x:v>211.6</x:v>
      </x:c>
      <x:c r="K7" s="12" t="n">
        <x:v>172</x:v>
      </x:c>
      <x:c r="L7" s="12" t="n">
        <x:v>39.6</x:v>
      </x:c>
      <x:c r="M7" s="12" t="n">
        <x:v>197.7</x:v>
      </x:c>
      <x:c r="N7" s="12" t="n">
        <x:v>14.9</x:v>
      </x:c>
      <x:c r="O7" s="12" t="n">
        <x:v>39</x:v>
      </x:c>
      <x:c r="P7" s="11" t="str">
        <x:v>High</x:v>
      </x:c>
      <x:c r="Q7" s="13" t="n">
        <x:v>17</x:v>
      </x:c>
      <x:c r="R7" s="13" t="n">
        <x:v>5</x:v>
      </x:c>
      <x:c r="S7" s="12" t="n">
        <x:v>109.6</x:v>
      </x:c>
      <x:c r="T7" s="12"/>
      <x:c r="U7" s="12" t="n">
        <x:v>0</x:v>
      </x:c>
      <x:c r="V7" s="12"/>
      <x:c r="W7" s="12" t="n">
        <x:v>12.4</x:v>
      </x:c>
      <x:c r="X7" s="13" t="n">
        <x:v>17</x:v>
      </x:c>
      <x:c r="Y7" s="11"/>
      <x:c r="Z7" s="11" t="str">
        <x:v>Veteran model: 2025 form, prior-year trend and same team pass/run forecast; team pass volume #17, rush volume #5</x:v>
      </x:c>
    </x:row>
    <x:row r="8" ht="19" customHeight="1">
      <x:c r="A8" s="13" t="n">
        <x:v>4</x:v>
      </x:c>
      <x:c r="B8" s="13" t="n">
        <x:v>29</x:v>
      </x:c>
      <x:c r="C8" s="13" t="n">
        <x:v>69</x:v>
      </x:c>
      <x:c r="D8" s="12" t="n">
        <x:v>41.3</x:v>
      </x:c>
      <x:c r="E8" s="12" t="n">
        <x:v>12.3</x:v>
      </x:c>
      <x:c r="F8" s="12" t="n">
        <x:v>-27.7</x:v>
      </x:c>
      <x:c r="G8" s="11" t="str">
        <x:v>Colston Loveland</x:v>
      </x:c>
      <x:c r="H8" s="11" t="str">
        <x:v>CHI</x:v>
      </x:c>
      <x:c r="I8" s="13" t="n">
        <x:v>10</x:v>
      </x:c>
      <x:c r="J8" s="12" t="n">
        <x:v>167.1</x:v>
      </x:c>
      <x:c r="K8" s="12" t="n">
        <x:v>215</x:v>
      </x:c>
      <x:c r="L8" s="12" t="n">
        <x:v>-47.9</x:v>
      </x:c>
      <x:c r="M8" s="12" t="n">
        <x:v>191.1</x:v>
      </x:c>
      <x:c r="N8" s="12" t="n">
        <x:v>15.7</x:v>
      </x:c>
      <x:c r="O8" s="12" t="n">
        <x:v>35</x:v>
      </x:c>
      <x:c r="P8" s="11" t="str">
        <x:v>Medium</x:v>
      </x:c>
      <x:c r="Q8" s="13" t="n">
        <x:v>13</x:v>
      </x:c>
      <x:c r="R8" s="13" t="n">
        <x:v>6</x:v>
      </x:c>
      <x:c r="S8" s="12" t="n">
        <x:v>92.8</x:v>
      </x:c>
      <x:c r="T8" s="12"/>
      <x:c r="U8" s="12" t="n">
        <x:v>0.6</x:v>
      </x:c>
      <x:c r="V8" s="12" t="n">
        <x:v>1</x:v>
      </x:c>
      <x:c r="W8" s="12" t="n">
        <x:v>10.3</x:v>
      </x:c>
      <x:c r="X8" s="13" t="n">
        <x:v>16</x:v>
      </x:c>
      <x:c r="Y8" s="11"/>
      <x:c r="Z8" s="11" t="str">
        <x:v>Veteran model: 2025 form, prior-year trend and same team pass/run forecast; team pass volume #13, rush volume #6</x:v>
      </x:c>
    </x:row>
    <x:row r="9" ht="19" customHeight="1">
      <x:c r="A9" s="13" t="n">
        <x:v>5</x:v>
      </x:c>
      <x:c r="B9" s="13" t="n">
        <x:v>44</x:v>
      </x:c>
      <x:c r="C9" s="13" t="n">
        <x:v>82</x:v>
      </x:c>
      <x:c r="D9" s="12" t="n">
        <x:v>46</x:v>
      </x:c>
      <x:c r="E9" s="12" t="n">
        <x:v>2</x:v>
      </x:c>
      <x:c r="F9" s="12" t="n">
        <x:v>-36</x:v>
      </x:c>
      <x:c r="G9" s="11" t="str">
        <x:v>Tyler Warren</x:v>
      </x:c>
      <x:c r="H9" s="11" t="str">
        <x:v>IND</x:v>
      </x:c>
      <x:c r="I9" s="13" t="n">
        <x:v>13</x:v>
      </x:c>
      <x:c r="J9" s="12" t="n">
        <x:v>159.9</x:v>
      </x:c>
      <x:c r="K9" s="12" t="n">
        <x:v>201</x:v>
      </x:c>
      <x:c r="L9" s="12" t="n">
        <x:v>-41.1</x:v>
      </x:c>
      <x:c r="M9" s="12" t="n">
        <x:v>180.4</x:v>
      </x:c>
      <x:c r="N9" s="12" t="n">
        <x:v>16.2</x:v>
      </x:c>
      <x:c r="O9" s="12" t="n">
        <x:v>25.9</x:v>
      </x:c>
      <x:c r="P9" s="11" t="str">
        <x:v>Medium</x:v>
      </x:c>
      <x:c r="Q9" s="13" t="n">
        <x:v>21</x:v>
      </x:c>
      <x:c r="R9" s="13" t="n">
        <x:v>13</x:v>
      </x:c>
      <x:c r="S9" s="12" t="n">
        <x:v>93.6</x:v>
      </x:c>
      <x:c r="T9" s="12"/>
      <x:c r="U9" s="12" t="n">
        <x:v>5</x:v>
      </x:c>
      <x:c r="V9" s="12" t="n">
        <x:v>5</x:v>
      </x:c>
      <x:c r="W9" s="12" t="n">
        <x:v>11.1</x:v>
      </x:c>
      <x:c r="X9" s="13" t="n">
        <x:v>17</x:v>
      </x:c>
      <x:c r="Y9" s="11" t="str">
        <x:v>Ques</x:v>
      </x:c>
      <x:c r="Z9" s="11" t="str">
        <x:v>Veteran model: 2025 form, prior-year trend and same team pass/run forecast; team pass volume #21, rush volume #13</x:v>
      </x:c>
    </x:row>
    <x:row r="10" ht="19" customHeight="1">
      <x:c r="A10" s="13" t="n">
        <x:v>6</x:v>
      </x:c>
      <x:c r="B10" s="13" t="n">
        <x:v>48</x:v>
      </x:c>
      <x:c r="C10" s="13" t="n">
        <x:v>79</x:v>
      </x:c>
      <x:c r="D10" s="12" t="n">
        <x:v>60.1</x:v>
      </x:c>
      <x:c r="E10" s="12" t="n">
        <x:v>12.1</x:v>
      </x:c>
      <x:c r="F10" s="12" t="n">
        <x:v>-18.9</x:v>
      </x:c>
      <x:c r="G10" s="11" t="str">
        <x:v>Sam LaPorta</x:v>
      </x:c>
      <x:c r="H10" s="11" t="str">
        <x:v>DET</x:v>
      </x:c>
      <x:c r="I10" s="13" t="n">
        <x:v>6</x:v>
      </x:c>
      <x:c r="J10" s="12" t="n">
        <x:v>162.6</x:v>
      </x:c>
      <x:c r="K10" s="12" t="n">
        <x:v>197</x:v>
      </x:c>
      <x:c r="L10" s="12" t="n">
        <x:v>-34.4</x:v>
      </x:c>
      <x:c r="M10" s="12" t="n">
        <x:v>179.8</x:v>
      </x:c>
      <x:c r="N10" s="12" t="n">
        <x:v>13.6</x:v>
      </x:c>
      <x:c r="O10" s="12" t="n">
        <x:v>21.3</x:v>
      </x:c>
      <x:c r="P10" s="11" t="str">
        <x:v>Medium</x:v>
      </x:c>
      <x:c r="Q10" s="13" t="n">
        <x:v>10</x:v>
      </x:c>
      <x:c r="R10" s="13" t="n">
        <x:v>7</x:v>
      </x:c>
      <x:c r="S10" s="12" t="n">
        <x:v>91.2</x:v>
      </x:c>
      <x:c r="T10" s="12"/>
      <x:c r="U10" s="12" t="n">
        <x:v>0.5</x:v>
      </x:c>
      <x:c r="V10" s="12" t="n">
        <x:v>1</x:v>
      </x:c>
      <x:c r="W10" s="12" t="n">
        <x:v>11.9</x:v>
      </x:c>
      <x:c r="X10" s="13" t="n">
        <x:v>9</x:v>
      </x:c>
      <x:c r="Y10" s="11" t="str">
        <x:v>Ques</x:v>
      </x:c>
      <x:c r="Z10" s="11" t="str">
        <x:v>Veteran model: 2025 form, prior-year trend and same team pass/run forecast; team pass volume #10, rush volume #7</x:v>
      </x:c>
    </x:row>
    <x:row r="11" ht="19" customHeight="1">
      <x:c r="A11" s="13" t="n">
        <x:v>7</x:v>
      </x:c>
      <x:c r="B11" s="13" t="n">
        <x:v>50</x:v>
      </x:c>
      <x:c r="C11" s="13" t="n">
        <x:v>52</x:v>
      </x:c>
      <x:c r="D11" s="12" t="n">
        <x:v>65.6</x:v>
      </x:c>
      <x:c r="E11" s="12" t="n">
        <x:v>15.6</x:v>
      </x:c>
      <x:c r="F11" s="12" t="n">
        <x:v>13.6</x:v>
      </x:c>
      <x:c r="G11" s="11" t="str">
        <x:v>Tucker Kraft</x:v>
      </x:c>
      <x:c r="H11" s="11" t="str">
        <x:v>GB</x:v>
      </x:c>
      <x:c r="I11" s="13" t="n">
        <x:v>11</x:v>
      </x:c>
      <x:c r="J11" s="12" t="n">
        <x:v>180.1</x:v>
      </x:c>
      <x:c r="K11" s="12" t="n">
        <x:v>174</x:v>
      </x:c>
      <x:c r="L11" s="12" t="n">
        <x:v>6.1</x:v>
      </x:c>
      <x:c r="M11" s="12" t="n">
        <x:v>177</x:v>
      </x:c>
      <x:c r="N11" s="12" t="n">
        <x:v>13.7</x:v>
      </x:c>
      <x:c r="O11" s="12" t="n">
        <x:v>19.2</x:v>
      </x:c>
      <x:c r="P11" s="11" t="str">
        <x:v>Medium</x:v>
      </x:c>
      <x:c r="Q11" s="13" t="n">
        <x:v>30</x:v>
      </x:c>
      <x:c r="R11" s="13" t="n">
        <x:v>4</x:v>
      </x:c>
      <x:c r="S11" s="12" t="n">
        <x:v>93.8</x:v>
      </x:c>
      <x:c r="T11" s="12"/>
      <x:c r="U11" s="12" t="n">
        <x:v>2.2</x:v>
      </x:c>
      <x:c r="V11" s="12"/>
      <x:c r="W11" s="12" t="n">
        <x:v>14.6</x:v>
      </x:c>
      <x:c r="X11" s="13" t="n">
        <x:v>8</x:v>
      </x:c>
      <x:c r="Y11" s="11" t="str">
        <x:v>Ques</x:v>
      </x:c>
      <x:c r="Z11" s="11" t="str">
        <x:v>Veteran model: 2025 form, prior-year trend and same team pass/run forecast; team pass volume #30, rush volume #4</x:v>
      </x:c>
    </x:row>
    <x:row r="12" ht="19" customHeight="1">
      <x:c r="A12" s="13" t="n">
        <x:v>8</x:v>
      </x:c>
      <x:c r="B12" s="13" t="n">
        <x:v>61</x:v>
      </x:c>
      <x:c r="C12" s="13" t="n">
        <x:v>70</x:v>
      </x:c>
      <x:c r="D12" s="12" t="n">
        <x:v>93.6</x:v>
      </x:c>
      <x:c r="E12" s="12" t="n">
        <x:v>32.6</x:v>
      </x:c>
      <x:c r="F12" s="12" t="n">
        <x:v>23.6</x:v>
      </x:c>
      <x:c r="G12" s="11" t="str">
        <x:v>Travis Kelce</x:v>
      </x:c>
      <x:c r="H12" s="11" t="str">
        <x:v>KC</x:v>
      </x:c>
      <x:c r="I12" s="13" t="n">
        <x:v>5</x:v>
      </x:c>
      <x:c r="J12" s="12" t="n">
        <x:v>169.5</x:v>
      </x:c>
      <x:c r="K12" s="12" t="n">
        <x:v>171</x:v>
      </x:c>
      <x:c r="L12" s="12" t="n">
        <x:v>-1.5</x:v>
      </x:c>
      <x:c r="M12" s="12" t="n">
        <x:v>170</x:v>
      </x:c>
      <x:c r="N12" s="12" t="n">
        <x:v>12.2</x:v>
      </x:c>
      <x:c r="O12" s="12" t="n">
        <x:v>12.1</x:v>
      </x:c>
      <x:c r="P12" s="11" t="str">
        <x:v>High</x:v>
      </x:c>
      <x:c r="Q12" s="13" t="n">
        <x:v>5</x:v>
      </x:c>
      <x:c r="R12" s="13" t="n">
        <x:v>25</x:v>
      </x:c>
      <x:c r="S12" s="12" t="n">
        <x:v>97</x:v>
      </x:c>
      <x:c r="T12" s="12"/>
      <x:c r="U12" s="12" t="n">
        <x:v>0.8</x:v>
      </x:c>
      <x:c r="V12" s="12"/>
      <x:c r="W12" s="12" t="n">
        <x:v>11.4</x:v>
      </x:c>
      <x:c r="X12" s="13" t="n">
        <x:v>17</x:v>
      </x:c>
      <x:c r="Y12" s="11"/>
      <x:c r="Z12" s="11" t="str">
        <x:v>Veteran model: 2025 form, prior-year trend and same team pass/run forecast; team pass volume #5, rush volume #25</x:v>
      </x:c>
    </x:row>
    <x:row r="13" ht="19" customHeight="1">
      <x:c r="A13" s="13" t="n">
        <x:v>9</x:v>
      </x:c>
      <x:c r="B13" s="13" t="n">
        <x:v>62</x:v>
      </x:c>
      <x:c r="C13" s="13" t="n">
        <x:v>65</x:v>
      </x:c>
      <x:c r="D13" s="12" t="n">
        <x:v>90</x:v>
      </x:c>
      <x:c r="E13" s="12" t="n">
        <x:v>28</x:v>
      </x:c>
      <x:c r="F13" s="12" t="n">
        <x:v>25</x:v>
      </x:c>
      <x:c r="G13" s="11" t="str">
        <x:v>Dalton Kincaid</x:v>
      </x:c>
      <x:c r="H13" s="11" t="str">
        <x:v>BUF</x:v>
      </x:c>
      <x:c r="I13" s="13" t="n">
        <x:v>7</x:v>
      </x:c>
      <x:c r="J13" s="12" t="n">
        <x:v>169.8</x:v>
      </x:c>
      <x:c r="K13" s="12" t="n">
        <x:v>164</x:v>
      </x:c>
      <x:c r="L13" s="12" t="n">
        <x:v>5.8</x:v>
      </x:c>
      <x:c r="M13" s="12" t="n">
        <x:v>167.8</x:v>
      </x:c>
      <x:c r="N13" s="12" t="n">
        <x:v>13.6</x:v>
      </x:c>
      <x:c r="O13" s="12" t="n">
        <x:v>11.7</x:v>
      </x:c>
      <x:c r="P13" s="11" t="str">
        <x:v>High</x:v>
      </x:c>
      <x:c r="Q13" s="13" t="n">
        <x:v>28</x:v>
      </x:c>
      <x:c r="R13" s="13" t="n">
        <x:v>3</x:v>
      </x:c>
      <x:c r="S13" s="12" t="n">
        <x:v>82.5</x:v>
      </x:c>
      <x:c r="T13" s="12"/>
      <x:c r="U13" s="12" t="n">
        <x:v>0.7</x:v>
      </x:c>
      <x:c r="V13" s="12"/>
      <x:c r="W13" s="12" t="n">
        <x:v>10.5</x:v>
      </x:c>
      <x:c r="X13" s="13" t="n">
        <x:v>12</x:v>
      </x:c>
      <x:c r="Y13" s="11"/>
      <x:c r="Z13" s="11" t="str">
        <x:v>Veteran model: 2025 form, prior-year trend and same team pass/run forecast; team pass volume #28, rush volume #3</x:v>
      </x:c>
    </x:row>
    <x:row r="14" ht="19" customHeight="1">
      <x:c r="A14" s="13" t="n">
        <x:v>10</x:v>
      </x:c>
      <x:c r="B14" s="13" t="n">
        <x:v>63</x:v>
      </x:c>
      <x:c r="C14" s="13" t="n">
        <x:v>77</x:v>
      </x:c>
      <x:c r="D14" s="12" t="n">
        <x:v>90.3</x:v>
      </x:c>
      <x:c r="E14" s="12" t="n">
        <x:v>27.3</x:v>
      </x:c>
      <x:c r="F14" s="12" t="n">
        <x:v>13.3</x:v>
      </x:c>
      <x:c r="G14" s="11" t="str">
        <x:v>George Kittle</x:v>
      </x:c>
      <x:c r="H14" s="11" t="str">
        <x:v>SF</x:v>
      </x:c>
      <x:c r="I14" s="13" t="n">
        <x:v>8</x:v>
      </x:c>
      <x:c r="J14" s="12" t="n">
        <x:v>163.5</x:v>
      </x:c>
      <x:c r="K14" s="12" t="n">
        <x:v>169</x:v>
      </x:c>
      <x:c r="L14" s="12" t="n">
        <x:v>-5.5</x:v>
      </x:c>
      <x:c r="M14" s="12" t="n">
        <x:v>166.2</x:v>
      </x:c>
      <x:c r="N14" s="12" t="n">
        <x:v>12.6</x:v>
      </x:c>
      <x:c r="O14" s="12" t="n">
        <x:v>9.6</x:v>
      </x:c>
      <x:c r="P14" s="11" t="str">
        <x:v>Medium</x:v>
      </x:c>
      <x:c r="Q14" s="13" t="n">
        <x:v>16</x:v>
      </x:c>
      <x:c r="R14" s="13" t="n">
        <x:v>9</x:v>
      </x:c>
      <x:c r="S14" s="12" t="n">
        <x:v>96.8</x:v>
      </x:c>
      <x:c r="T14" s="12"/>
      <x:c r="U14" s="12" t="n">
        <x:v>0.9</x:v>
      </x:c>
      <x:c r="V14" s="12"/>
      <x:c r="W14" s="12" t="n">
        <x:v>14.7</x:v>
      </x:c>
      <x:c r="X14" s="13" t="n">
        <x:v>11</x:v>
      </x:c>
      <x:c r="Y14" s="11" t="str">
        <x:v>PUP</x:v>
      </x:c>
      <x:c r="Z14" s="11" t="str">
        <x:v>Veteran model: 2025 form, prior-year trend and same team pass/run forecast; team pass volume #16, rush volume #9</x:v>
      </x:c>
    </x:row>
    <x:row r="15" ht="19" customHeight="1">
      <x:c r="A15" s="13" t="n">
        <x:v>11</x:v>
      </x:c>
      <x:c r="B15" s="13" t="n">
        <x:v>64</x:v>
      </x:c>
      <x:c r="C15" s="13" t="n">
        <x:v>64</x:v>
      </x:c>
      <x:c r="D15" s="12" t="n">
        <x:v>132.6</x:v>
      </x:c>
      <x:c r="E15" s="12" t="n">
        <x:v>68.6</x:v>
      </x:c>
      <x:c r="F15" s="12" t="n">
        <x:v>68.6</x:v>
      </x:c>
      <x:c r="G15" s="11" t="str">
        <x:v>Hunter Henry</x:v>
      </x:c>
      <x:c r="H15" s="11" t="str">
        <x:v>NE</x:v>
      </x:c>
      <x:c r="I15" s="13" t="n">
        <x:v>11</x:v>
      </x:c>
      <x:c r="J15" s="12" t="n">
        <x:v>171.3</x:v>
      </x:c>
      <x:c r="K15" s="12" t="n">
        <x:v>154</x:v>
      </x:c>
      <x:c r="L15" s="12" t="n">
        <x:v>17.3</x:v>
      </x:c>
      <x:c r="M15" s="12" t="n">
        <x:v>165.2</x:v>
      </x:c>
      <x:c r="N15" s="12" t="n">
        <x:v>12.7</x:v>
      </x:c>
      <x:c r="O15" s="12" t="n">
        <x:v>9</x:v>
      </x:c>
      <x:c r="P15" s="11" t="str">
        <x:v>High</x:v>
      </x:c>
      <x:c r="Q15" s="13" t="n">
        <x:v>27</x:v>
      </x:c>
      <x:c r="R15" s="13" t="n">
        <x:v>12</x:v>
      </x:c>
      <x:c r="S15" s="12" t="n">
        <x:v>88</x:v>
      </x:c>
      <x:c r="T15" s="12"/>
      <x:c r="U15" s="12" t="n">
        <x:v>0.3</x:v>
      </x:c>
      <x:c r="V15" s="12"/>
      <x:c r="W15" s="12" t="n">
        <x:v>10.5</x:v>
      </x:c>
      <x:c r="X15" s="13" t="n">
        <x:v>17</x:v>
      </x:c>
      <x:c r="Y15" s="11"/>
      <x:c r="Z15" s="11" t="str">
        <x:v>Veteran model: 2025 form, prior-year trend and same team pass/run forecast; team pass volume #27, rush volume #12</x:v>
      </x:c>
    </x:row>
    <x:row r="16" ht="19" customHeight="1">
      <x:c r="A16" s="13" t="n">
        <x:v>12</x:v>
      </x:c>
      <x:c r="B16" s="13" t="n">
        <x:v>67</x:v>
      </x:c>
      <x:c r="C16" s="13" t="n">
        <x:v>101</x:v>
      </x:c>
      <x:c r="D16" s="12" t="n">
        <x:v>67.1</x:v>
      </x:c>
      <x:c r="E16" s="12" t="n">
        <x:v>0.1</x:v>
      </x:c>
      <x:c r="F16" s="12" t="n">
        <x:v>-33.9</x:v>
      </x:c>
      <x:c r="G16" s="11" t="str">
        <x:v>Harold Fannin</x:v>
      </x:c>
      <x:c r="H16" s="11" t="str">
        <x:v>CLE</x:v>
      </x:c>
      <x:c r="I16" s="13" t="n">
        <x:v>11</x:v>
      </x:c>
      <x:c r="J16" s="12" t="n">
        <x:v>148.4</x:v>
      </x:c>
      <x:c r="K16" s="12" t="n">
        <x:v>180</x:v>
      </x:c>
      <x:c r="L16" s="12" t="n">
        <x:v>-31.6</x:v>
      </x:c>
      <x:c r="M16" s="12" t="n">
        <x:v>164.2</x:v>
      </x:c>
      <x:c r="N16" s="12" t="n">
        <x:v>13.2</x:v>
      </x:c>
      <x:c r="O16" s="12" t="n">
        <x:v>8.5</x:v>
      </x:c>
      <x:c r="P16" s="11" t="str">
        <x:v>Medium</x:v>
      </x:c>
      <x:c r="Q16" s="13" t="n">
        <x:v>4</x:v>
      </x:c>
      <x:c r="R16" s="13" t="n">
        <x:v>26</x:v>
      </x:c>
      <x:c r="S16" s="12" t="n">
        <x:v>95.3</x:v>
      </x:c>
      <x:c r="T16" s="12"/>
      <x:c r="U16" s="12" t="n">
        <x:v>2.3</x:v>
      </x:c>
      <x:c r="V16" s="12" t="n">
        <x:v>6</x:v>
      </x:c>
      <x:c r="W16" s="12" t="n">
        <x:v>11.7</x:v>
      </x:c>
      <x:c r="X16" s="13" t="n">
        <x:v>16</x:v>
      </x:c>
      <x:c r="Y16" s="11"/>
      <x:c r="Z16" s="11" t="str">
        <x:v>Veteran model: 2025 form, prior-year trend and same team pass/run forecast; team pass volume #4, rush volume #26</x:v>
      </x:c>
    </x:row>
    <x:row r="17" ht="19" customHeight="1">
      <x:c r="A17" s="13" t="n">
        <x:v>13</x:v>
      </x:c>
      <x:c r="B17" s="13" t="n">
        <x:v>88</x:v>
      </x:c>
      <x:c r="C17" s="13" t="n">
        <x:v>84</x:v>
      </x:c>
      <x:c r="D17" s="12" t="n">
        <x:v>187.1</x:v>
      </x:c>
      <x:c r="E17" s="12" t="n">
        <x:v>99.1</x:v>
      </x:c>
      <x:c r="F17" s="12" t="n">
        <x:v>103.1</x:v>
      </x:c>
      <x:c r="G17" s="11" t="str">
        <x:v>Juwan Johnson</x:v>
      </x:c>
      <x:c r="H17" s="11" t="str">
        <x:v>NO</x:v>
      </x:c>
      <x:c r="I17" s="13" t="n">
        <x:v>8</x:v>
      </x:c>
      <x:c r="J17" s="12" t="n">
        <x:v>159.7</x:v>
      </x:c>
      <x:c r="K17" s="12" t="n">
        <x:v>141</x:v>
      </x:c>
      <x:c r="L17" s="12" t="n">
        <x:v>18.7</x:v>
      </x:c>
      <x:c r="M17" s="12" t="n">
        <x:v>153.2</x:v>
      </x:c>
      <x:c r="N17" s="12" t="n">
        <x:v>12.2</x:v>
      </x:c>
      <x:c r="O17" s="12" t="n">
        <x:v>0</x:v>
      </x:c>
      <x:c r="P17" s="11" t="str">
        <x:v>High</x:v>
      </x:c>
      <x:c r="Q17" s="13" t="n">
        <x:v>8</x:v>
      </x:c>
      <x:c r="R17" s="13" t="n">
        <x:v>22</x:v>
      </x:c>
      <x:c r="S17" s="12" t="n">
        <x:v>84</x:v>
      </x:c>
      <x:c r="T17" s="12"/>
      <x:c r="U17" s="12" t="n">
        <x:v>0.3</x:v>
      </x:c>
      <x:c r="V17" s="12"/>
      <x:c r="W17" s="12" t="n">
        <x:v>10.6</x:v>
      </x:c>
      <x:c r="X17" s="13" t="n">
        <x:v>17</x:v>
      </x:c>
      <x:c r="Y17" s="11"/>
      <x:c r="Z17" s="11" t="str">
        <x:v>Veteran model: 2025 form, prior-year trend and same team pass/run forecast; team pass volume #8, rush volume #22</x:v>
      </x:c>
    </x:row>
    <x:row r="18" ht="19" customHeight="1">
      <x:c r="A18" s="13" t="n">
        <x:v>14</x:v>
      </x:c>
      <x:c r="B18" s="13" t="n">
        <x:v>90</x:v>
      </x:c>
      <x:c r="C18" s="13" t="n">
        <x:v>87</x:v>
      </x:c>
      <x:c r="D18" s="12" t="n">
        <x:v>124.2</x:v>
      </x:c>
      <x:c r="E18" s="12" t="n">
        <x:v>34.2</x:v>
      </x:c>
      <x:c r="F18" s="12" t="n">
        <x:v>37.2</x:v>
      </x:c>
      <x:c r="G18" s="11" t="str">
        <x:v>Dallas Goedert</x:v>
      </x:c>
      <x:c r="H18" s="11" t="str">
        <x:v>PHI</x:v>
      </x:c>
      <x:c r="I18" s="13" t="n">
        <x:v>10</x:v>
      </x:c>
      <x:c r="J18" s="12" t="n">
        <x:v>158.9</x:v>
      </x:c>
      <x:c r="K18" s="12" t="n">
        <x:v>136</x:v>
      </x:c>
      <x:c r="L18" s="12" t="n">
        <x:v>22.9</x:v>
      </x:c>
      <x:c r="M18" s="12" t="n">
        <x:v>150.9</x:v>
      </x:c>
      <x:c r="N18" s="12" t="n">
        <x:v>13</x:v>
      </x:c>
      <x:c r="O18" s="12" t="n">
        <x:v>-1.8</x:v>
      </x:c>
      <x:c r="P18" s="11" t="str">
        <x:v>High</x:v>
      </x:c>
      <x:c r="Q18" s="13" t="n">
        <x:v>31</x:v>
      </x:c>
      <x:c r="R18" s="13" t="n">
        <x:v>2</x:v>
      </x:c>
      <x:c r="S18" s="12" t="n">
        <x:v>86.8</x:v>
      </x:c>
      <x:c r="T18" s="12"/>
      <x:c r="U18" s="12" t="n">
        <x:v>0.5</x:v>
      </x:c>
      <x:c r="V18" s="12"/>
      <x:c r="W18" s="12" t="n">
        <x:v>12.3</x:v>
      </x:c>
      <x:c r="X18" s="13" t="n">
        <x:v>15</x:v>
      </x:c>
      <x:c r="Y18" s="11"/>
      <x:c r="Z18" s="11" t="str">
        <x:v>Veteran model: 2025 form, prior-year trend and same team pass/run forecast; team pass volume #31, rush volume #2</x:v>
      </x:c>
    </x:row>
    <x:row r="19" ht="19" customHeight="1">
      <x:c r="A19" s="13" t="n">
        <x:v>15</x:v>
      </x:c>
      <x:c r="B19" s="13" t="n">
        <x:v>99</x:v>
      </x:c>
      <x:c r="C19" s="13" t="n">
        <x:v>126</x:v>
      </x:c>
      <x:c r="D19" s="12" t="n">
        <x:v>100.8</x:v>
      </x:c>
      <x:c r="E19" s="12" t="n">
        <x:v>1.8</x:v>
      </x:c>
      <x:c r="F19" s="12" t="n">
        <x:v>-25.2</x:v>
      </x:c>
      <x:c r="G19" s="11" t="str">
        <x:v>Jake Ferguson</x:v>
      </x:c>
      <x:c r="H19" s="11" t="str">
        <x:v>DAL</x:v>
      </x:c>
      <x:c r="I19" s="13" t="n">
        <x:v>14</x:v>
      </x:c>
      <x:c r="J19" s="12" t="n">
        <x:v>141.9</x:v>
      </x:c>
      <x:c r="K19" s="12" t="n">
        <x:v>160</x:v>
      </x:c>
      <x:c r="L19" s="12" t="n">
        <x:v>-18.1</x:v>
      </x:c>
      <x:c r="M19" s="12" t="n">
        <x:v>148.2</x:v>
      </x:c>
      <x:c r="N19" s="12" t="n">
        <x:v>15.1</x:v>
      </x:c>
      <x:c r="O19" s="12" t="n">
        <x:v>-4.4</x:v>
      </x:c>
      <x:c r="P19" s="11" t="str">
        <x:v>High</x:v>
      </x:c>
      <x:c r="Q19" s="13" t="n">
        <x:v>2</x:v>
      </x:c>
      <x:c r="R19" s="13" t="n">
        <x:v>20</x:v>
      </x:c>
      <x:c r="S19" s="12" t="n">
        <x:v>91.5</x:v>
      </x:c>
      <x:c r="T19" s="12"/>
      <x:c r="U19" s="12" t="n">
        <x:v>0.8</x:v>
      </x:c>
      <x:c r="V19" s="12"/>
      <x:c r="W19" s="12" t="n">
        <x:v>11.1</x:v>
      </x:c>
      <x:c r="X19" s="13" t="n">
        <x:v>17</x:v>
      </x:c>
      <x:c r="Y19" s="11"/>
      <x:c r="Z19" s="11" t="str">
        <x:v>Veteran model: 2025 form, prior-year trend and same team pass/run forecast; team pass volume #2, rush volume #20</x:v>
      </x:c>
    </x:row>
    <x:row r="20" ht="19" customHeight="1">
      <x:c r="A20" s="13" t="n">
        <x:v>16</x:v>
      </x:c>
      <x:c r="B20" s="13" t="n">
        <x:v>96</x:v>
      </x:c>
      <x:c r="C20" s="13" t="n">
        <x:v>117</x:v>
      </x:c>
      <x:c r="D20" s="12" t="n">
        <x:v>151.4</x:v>
      </x:c>
      <x:c r="E20" s="12" t="n">
        <x:v>55.4</x:v>
      </x:c>
      <x:c r="F20" s="12" t="n">
        <x:v>34.4</x:v>
      </x:c>
      <x:c r="G20" s="11" t="str">
        <x:v>Brenton Strange</x:v>
      </x:c>
      <x:c r="H20" s="11" t="str">
        <x:v>JAX</x:v>
      </x:c>
      <x:c r="I20" s="13" t="n">
        <x:v>7</x:v>
      </x:c>
      <x:c r="J20" s="12" t="n">
        <x:v>141.1</x:v>
      </x:c>
      <x:c r="K20" s="12" t="n">
        <x:v>161</x:v>
      </x:c>
      <x:c r="L20" s="12" t="n">
        <x:v>-19.9</x:v>
      </x:c>
      <x:c r="M20" s="12" t="n">
        <x:v>148.1</x:v>
      </x:c>
      <x:c r="N20" s="12" t="n">
        <x:v>12.6</x:v>
      </x:c>
      <x:c r="O20" s="12" t="n">
        <x:v>-3.8</x:v>
      </x:c>
      <x:c r="P20" s="11" t="str">
        <x:v>High</x:v>
      </x:c>
      <x:c r="Q20" s="13" t="n">
        <x:v>11</x:v>
      </x:c>
      <x:c r="R20" s="13" t="n">
        <x:v>15</x:v>
      </x:c>
      <x:c r="S20" s="12" t="n">
        <x:v>78.5</x:v>
      </x:c>
      <x:c r="T20" s="12"/>
      <x:c r="U20" s="12" t="n">
        <x:v>0.2</x:v>
      </x:c>
      <x:c r="V20" s="12"/>
      <x:c r="W20" s="12" t="n">
        <x:v>9.8</x:v>
      </x:c>
      <x:c r="X20" s="13" t="n">
        <x:v>12</x:v>
      </x:c>
      <x:c r="Y20" s="11"/>
      <x:c r="Z20" s="11" t="str">
        <x:v>Veteran model: 2025 form, prior-year trend and same team pass/run forecast; team pass volume #11, rush volume #15</x:v>
      </x:c>
    </x:row>
    <x:row r="21" ht="19" customHeight="1">
      <x:c r="A21" s="13" t="n">
        <x:v>17</x:v>
      </x:c>
      <x:c r="B21" s="13" t="n">
        <x:v>101</x:v>
      </x:c>
      <x:c r="C21" s="13" t="n">
        <x:v>100</x:v>
      </x:c>
      <x:c r="D21" s="12" t="n">
        <x:v>193.2</x:v>
      </x:c>
      <x:c r="E21" s="12" t="n">
        <x:v>92.2</x:v>
      </x:c>
      <x:c r="F21" s="12" t="n">
        <x:v>93.2</x:v>
      </x:c>
      <x:c r="G21" s="11" t="str">
        <x:v>Dalton Schultz</x:v>
      </x:c>
      <x:c r="H21" s="11" t="str">
        <x:v>HOU</x:v>
      </x:c>
      <x:c r="I21" s="13" t="n">
        <x:v>8</x:v>
      </x:c>
      <x:c r="J21" s="12" t="n">
        <x:v>148.2</x:v>
      </x:c>
      <x:c r="K21" s="12" t="n">
        <x:v>139</x:v>
      </x:c>
      <x:c r="L21" s="12" t="n">
        <x:v>9.2</x:v>
      </x:c>
      <x:c r="M21" s="12" t="n">
        <x:v>145</x:v>
      </x:c>
      <x:c r="N21" s="12" t="n">
        <x:v>12.7</x:v>
      </x:c>
      <x:c r="O21" s="12" t="n">
        <x:v>-6.1</x:v>
      </x:c>
      <x:c r="P21" s="11" t="str">
        <x:v>High</x:v>
      </x:c>
      <x:c r="Q21" s="13" t="n">
        <x:v>9</x:v>
      </x:c>
      <x:c r="R21" s="13" t="n">
        <x:v>17</x:v>
      </x:c>
      <x:c r="S21" s="12" t="n">
        <x:v>88.6</x:v>
      </x:c>
      <x:c r="T21" s="12"/>
      <x:c r="U21" s="12" t="n">
        <x:v>0</x:v>
      </x:c>
      <x:c r="V21" s="12"/>
      <x:c r="W21" s="12" t="n">
        <x:v>10.5</x:v>
      </x:c>
      <x:c r="X21" s="13" t="n">
        <x:v>17</x:v>
      </x:c>
      <x:c r="Y21" s="11"/>
      <x:c r="Z21" s="11" t="str">
        <x:v>Veteran model: 2025 form, prior-year trend and same team pass/run forecast; team pass volume #9, rush volume #17</x:v>
      </x:c>
    </x:row>
    <x:row r="22" ht="19" customHeight="1">
      <x:c r="A22" s="13" t="n">
        <x:v>18</x:v>
      </x:c>
      <x:c r="B22" s="13" t="n">
        <x:v>104</x:v>
      </x:c>
      <x:c r="C22" s="13" t="n">
        <x:v>103</x:v>
      </x:c>
      <x:c r="D22" s="12" t="n">
        <x:v>117.9</x:v>
      </x:c>
      <x:c r="E22" s="12" t="n">
        <x:v>13.9</x:v>
      </x:c>
      <x:c r="F22" s="12" t="n">
        <x:v>14.9</x:v>
      </x:c>
      <x:c r="G22" s="11" t="str">
        <x:v>Oronde Gadsden</x:v>
      </x:c>
      <x:c r="H22" s="11" t="str">
        <x:v>LAC</x:v>
      </x:c>
      <x:c r="I22" s="13" t="n">
        <x:v>7</x:v>
      </x:c>
      <x:c r="J22" s="12" t="n">
        <x:v>147.1</x:v>
      </x:c>
      <x:c r="K22" s="12" t="n">
        <x:v>142</x:v>
      </x:c>
      <x:c r="L22" s="12" t="n">
        <x:v>5.1</x:v>
      </x:c>
      <x:c r="M22" s="12" t="n">
        <x:v>144.5</x:v>
      </x:c>
      <x:c r="N22" s="12" t="n">
        <x:v>12.9</x:v>
      </x:c>
      <x:c r="O22" s="12" t="n">
        <x:v>-6.6</x:v>
      </x:c>
      <x:c r="P22" s="11" t="str">
        <x:v>Medium</x:v>
      </x:c>
      <x:c r="Q22" s="13" t="n">
        <x:v>14</x:v>
      </x:c>
      <x:c r="R22" s="13" t="n">
        <x:v>16</x:v>
      </x:c>
      <x:c r="S22" s="12" t="n">
        <x:v>75.5</x:v>
      </x:c>
      <x:c r="T22" s="12"/>
      <x:c r="U22" s="12" t="n">
        <x:v>0.2</x:v>
      </x:c>
      <x:c r="V22" s="12"/>
      <x:c r="W22" s="12" t="n">
        <x:v>8.8</x:v>
      </x:c>
      <x:c r="X22" s="13" t="n">
        <x:v>15</x:v>
      </x:c>
      <x:c r="Y22" s="11"/>
      <x:c r="Z22" s="11" t="str">
        <x:v>Veteran model: 2025 form, prior-year trend and same team pass/run forecast; team pass volume #14, rush volume #16</x:v>
      </x:c>
    </x:row>
    <x:row r="23" ht="19" customHeight="1">
      <x:c r="A23" s="13" t="n">
        <x:v>19</x:v>
      </x:c>
      <x:c r="B23" s="13" t="n">
        <x:v>106</x:v>
      </x:c>
      <x:c r="C23" s="13" t="n">
        <x:v>144</x:v>
      </x:c>
      <x:c r="D23" s="12" t="n">
        <x:v>129.5</x:v>
      </x:c>
      <x:c r="E23" s="12" t="n">
        <x:v>23.5</x:v>
      </x:c>
      <x:c r="F23" s="12" t="n">
        <x:v>-14.5</x:v>
      </x:c>
      <x:c r="G23" s="11" t="str">
        <x:v>Mark Andrews</x:v>
      </x:c>
      <x:c r="H23" s="11" t="str">
        <x:v>BAL</x:v>
      </x:c>
      <x:c r="I23" s="13" t="n">
        <x:v>13</x:v>
      </x:c>
      <x:c r="J23" s="12" t="n">
        <x:v>132.3</x:v>
      </x:c>
      <x:c r="K23" s="12" t="n">
        <x:v>163</x:v>
      </x:c>
      <x:c r="L23" s="12" t="n">
        <x:v>-30.7</x:v>
      </x:c>
      <x:c r="M23" s="12" t="n">
        <x:v>143</x:v>
      </x:c>
      <x:c r="N23" s="12" t="n">
        <x:v>13.3</x:v>
      </x:c>
      <x:c r="O23" s="12" t="n">
        <x:v>-8</x:v>
      </x:c>
      <x:c r="P23" s="11" t="str">
        <x:v>High</x:v>
      </x:c>
      <x:c r="Q23" s="13" t="n">
        <x:v>32</x:v>
      </x:c>
      <x:c r="R23" s="13" t="n">
        <x:v>1</x:v>
      </x:c>
      <x:c r="S23" s="12" t="n">
        <x:v>69</x:v>
      </x:c>
      <x:c r="T23" s="12"/>
      <x:c r="U23" s="12" t="n">
        <x:v>6.5</x:v>
      </x:c>
      <x:c r="V23" s="12" t="n">
        <x:v>6</x:v>
      </x:c>
      <x:c r="W23" s="12" t="n">
        <x:v>7.7</x:v>
      </x:c>
      <x:c r="X23" s="13" t="n">
        <x:v>17</x:v>
      </x:c>
      <x:c r="Y23" s="11"/>
      <x:c r="Z23" s="11" t="str">
        <x:v>Veteran model: 2025 form, prior-year trend and same team pass/run forecast; team pass volume #32, rush volume #1</x:v>
      </x:c>
    </x:row>
    <x:row r="24" ht="19" customHeight="1">
      <x:c r="A24" s="13" t="n">
        <x:v>20</x:v>
      </x:c>
      <x:c r="B24" s="13" t="n">
        <x:v>109</x:v>
      </x:c>
      <x:c r="C24" s="13" t="n">
        <x:v>134</x:v>
      </x:c>
      <x:c r="D24" s="12" t="n">
        <x:v>164.9</x:v>
      </x:c>
      <x:c r="E24" s="12" t="n">
        <x:v>55.9</x:v>
      </x:c>
      <x:c r="F24" s="12" t="n">
        <x:v>30.9</x:v>
      </x:c>
      <x:c r="G24" s="11" t="str">
        <x:v>T.J. Hockenson</x:v>
      </x:c>
      <x:c r="H24" s="11" t="str">
        <x:v>MIN</x:v>
      </x:c>
      <x:c r="I24" s="13" t="n">
        <x:v>6</x:v>
      </x:c>
      <x:c r="J24" s="12" t="n">
        <x:v>135.2</x:v>
      </x:c>
      <x:c r="K24" s="12" t="n">
        <x:v>155</x:v>
      </x:c>
      <x:c r="L24" s="12" t="n">
        <x:v>-19.8</x:v>
      </x:c>
      <x:c r="M24" s="12" t="n">
        <x:v>142.2</x:v>
      </x:c>
      <x:c r="N24" s="12" t="n">
        <x:v>13</x:v>
      </x:c>
      <x:c r="O24" s="12" t="n">
        <x:v>-8.4</x:v>
      </x:c>
      <x:c r="P24" s="11" t="str">
        <x:v>High</x:v>
      </x:c>
      <x:c r="Q24" s="13" t="n">
        <x:v>26</x:v>
      </x:c>
      <x:c r="R24" s="13" t="n">
        <x:v>27</x:v>
      </x:c>
      <x:c r="S24" s="12" t="n">
        <x:v>79.8</x:v>
      </x:c>
      <x:c r="T24" s="12"/>
      <x:c r="U24" s="12" t="n">
        <x:v>0.2</x:v>
      </x:c>
      <x:c r="V24" s="12"/>
      <x:c r="W24" s="12" t="n">
        <x:v>7.5</x:v>
      </x:c>
      <x:c r="X24" s="13" t="n">
        <x:v>15</x:v>
      </x:c>
      <x:c r="Y24" s="11"/>
      <x:c r="Z24" s="11" t="str">
        <x:v>Veteran model: 2025 form, prior-year trend and same team pass/run forecast; team pass volume #26, rush volume #27</x:v>
      </x:c>
    </x:row>
    <x:row r="25" ht="19" customHeight="1">
      <x:c r="A25" s="13" t="n">
        <x:v>21</x:v>
      </x:c>
      <x:c r="B25" s="13" t="n">
        <x:v>116</x:v>
      </x:c>
      <x:c r="C25" s="13" t="n">
        <x:v>113</x:v>
      </x:c>
      <x:c r="D25" s="12" t="n">
        <x:v>215.2</x:v>
      </x:c>
      <x:c r="E25" s="12" t="n">
        <x:v>99.2</x:v>
      </x:c>
      <x:c r="F25" s="12" t="n">
        <x:v>102.2</x:v>
      </x:c>
      <x:c r="G25" s="11" t="str">
        <x:v>Cade Otton</x:v>
      </x:c>
      <x:c r="H25" s="11" t="str">
        <x:v>TB</x:v>
      </x:c>
      <x:c r="I25" s="13" t="n">
        <x:v>10</x:v>
      </x:c>
      <x:c r="J25" s="12" t="n">
        <x:v>142.2</x:v>
      </x:c>
      <x:c r="K25" s="12" t="n">
        <x:v>122</x:v>
      </x:c>
      <x:c r="L25" s="12" t="n">
        <x:v>20.2</x:v>
      </x:c>
      <x:c r="M25" s="12" t="n">
        <x:v>135.1</x:v>
      </x:c>
      <x:c r="N25" s="12" t="n">
        <x:v>12.5</x:v>
      </x:c>
      <x:c r="O25" s="12" t="n">
        <x:v>-13.3</x:v>
      </x:c>
      <x:c r="P25" s="11" t="str">
        <x:v>High</x:v>
      </x:c>
      <x:c r="Q25" s="13" t="n">
        <x:v>12</x:v>
      </x:c>
      <x:c r="R25" s="13" t="n">
        <x:v>11</x:v>
      </x:c>
      <x:c r="S25" s="12" t="n">
        <x:v>80.3</x:v>
      </x:c>
      <x:c r="T25" s="12"/>
      <x:c r="U25" s="12" t="n">
        <x:v>0.2</x:v>
      </x:c>
      <x:c r="V25" s="12"/>
      <x:c r="W25" s="12" t="n">
        <x:v>7.6</x:v>
      </x:c>
      <x:c r="X25" s="13" t="n">
        <x:v>16</x:v>
      </x:c>
      <x:c r="Y25" s="11" t="str">
        <x:v>Ques</x:v>
      </x:c>
      <x:c r="Z25" s="11" t="str">
        <x:v>Veteran model: 2025 form, prior-year trend and same team pass/run forecast; team pass volume #12, rush volume #11</x:v>
      </x:c>
    </x:row>
    <x:row r="26" ht="19" customHeight="1">
      <x:c r="A26" s="13" t="n">
        <x:v>22</x:v>
      </x:c>
      <x:c r="B26" s="13" t="n">
        <x:v>129</x:v>
      </x:c>
      <x:c r="C26" s="13" t="n">
        <x:v>163</x:v>
      </x:c>
      <x:c r="D26" s="12" t="n">
        <x:v>185.4</x:v>
      </x:c>
      <x:c r="E26" s="12" t="n">
        <x:v>56.4</x:v>
      </x:c>
      <x:c r="F26" s="12" t="n">
        <x:v>22.4</x:v>
      </x:c>
      <x:c r="G26" s="11" t="str">
        <x:v>AJ Barner</x:v>
      </x:c>
      <x:c r="H26" s="11" t="str">
        <x:v>SEA</x:v>
      </x:c>
      <x:c r="I26" s="13" t="n">
        <x:v>11</x:v>
      </x:c>
      <x:c r="J26" s="12" t="n">
        <x:v>122.3</x:v>
      </x:c>
      <x:c r="K26" s="12" t="n">
        <x:v>142</x:v>
      </x:c>
      <x:c r="L26" s="12" t="n">
        <x:v>-19.7</x:v>
      </x:c>
      <x:c r="M26" s="12" t="n">
        <x:v>129.2</x:v>
      </x:c>
      <x:c r="N26" s="12" t="n">
        <x:v>13.2</x:v>
      </x:c>
      <x:c r="O26" s="12" t="n">
        <x:v>-18.6</x:v>
      </x:c>
      <x:c r="P26" s="11" t="str">
        <x:v>High</x:v>
      </x:c>
      <x:c r="Q26" s="13" t="n">
        <x:v>23</x:v>
      </x:c>
      <x:c r="R26" s="13" t="n">
        <x:v>21</x:v>
      </x:c>
      <x:c r="S26" s="12" t="n">
        <x:v>70.5</x:v>
      </x:c>
      <x:c r="T26" s="12"/>
      <x:c r="U26" s="12" t="n">
        <x:v>4.9</x:v>
      </x:c>
      <x:c r="V26" s="12" t="n">
        <x:v>10</x:v>
      </x:c>
      <x:c r="W26" s="12" t="n">
        <x:v>8.7</x:v>
      </x:c>
      <x:c r="X26" s="13" t="n">
        <x:v>17</x:v>
      </x:c>
      <x:c r="Y26" s="11"/>
      <x:c r="Z26" s="11" t="str">
        <x:v>Veteran model: 2025 form, prior-year trend and same team pass/run forecast; team pass volume #23, rush volume #21</x:v>
      </x:c>
    </x:row>
    <x:row r="27" ht="19" customHeight="1">
      <x:c r="A27" s="13" t="n">
        <x:v>23</x:v>
      </x:c>
      <x:c r="B27" s="13" t="n">
        <x:v>142</x:v>
      </x:c>
      <x:c r="C27" s="13" t="n">
        <x:v>183</x:v>
      </x:c>
      <x:c r="D27" s="12" t="n">
        <x:v>171.9</x:v>
      </x:c>
      <x:c r="E27" s="12" t="n">
        <x:v>29.9</x:v>
      </x:c>
      <x:c r="F27" s="12" t="n">
        <x:v>-11.1</x:v>
      </x:c>
      <x:c r="G27" s="11" t="str">
        <x:v>Chig Okonkwo</x:v>
      </x:c>
      <x:c r="H27" s="11" t="str">
        <x:v>WAS</x:v>
      </x:c>
      <x:c r="I27" s="13" t="n">
        <x:v>7</x:v>
      </x:c>
      <x:c r="J27" s="12" t="n">
        <x:v>118.5</x:v>
      </x:c>
      <x:c r="K27" s="12" t="n">
        <x:v>144</x:v>
      </x:c>
      <x:c r="L27" s="12" t="n">
        <x:v>-25.5</x:v>
      </x:c>
      <x:c r="M27" s="12" t="n">
        <x:v>127.4</x:v>
      </x:c>
      <x:c r="N27" s="12" t="n">
        <x:v>15.5</x:v>
      </x:c>
      <x:c r="O27" s="12" t="n">
        <x:v>-23.5</x:v>
      </x:c>
      <x:c r="P27" s="11" t="str">
        <x:v>High</x:v>
      </x:c>
      <x:c r="Q27" s="13" t="n">
        <x:v>29</x:v>
      </x:c>
      <x:c r="R27" s="13" t="n">
        <x:v>8</x:v>
      </x:c>
      <x:c r="S27" s="12" t="n">
        <x:v>67.4</x:v>
      </x:c>
      <x:c r="T27" s="12"/>
      <x:c r="U27" s="12" t="n">
        <x:v>0.5</x:v>
      </x:c>
      <x:c r="V27" s="12"/>
      <x:c r="W27" s="12" t="n">
        <x:v>7.3</x:v>
      </x:c>
      <x:c r="X27" s="13" t="n">
        <x:v>17</x:v>
      </x:c>
      <x:c r="Y27" s="11"/>
      <x:c r="Z27" s="11" t="str">
        <x:v>Veteran model: 2025 form, prior-year trend and new team pass/run forecast; team pass volume #29, rush volume #8</x:v>
      </x:c>
    </x:row>
    <x:row r="28" ht="19" customHeight="1">
      <x:c r="A28" s="13" t="n">
        <x:v>24</x:v>
      </x:c>
      <x:c r="B28" s="13" t="n">
        <x:v>133</x:v>
      </x:c>
      <x:c r="C28" s="13" t="n">
        <x:v>153</x:v>
      </x:c>
      <x:c r="D28" s="12" t="n">
        <x:v>239.9</x:v>
      </x:c>
      <x:c r="E28" s="12" t="n">
        <x:v>106.9</x:v>
      </x:c>
      <x:c r="F28" s="12" t="n">
        <x:v>86.9</x:v>
      </x:c>
      <x:c r="G28" s="11" t="str">
        <x:v>Pat Freiermuth</x:v>
      </x:c>
      <x:c r="H28" s="11" t="str">
        <x:v>PIT</x:v>
      </x:c>
      <x:c r="I28" s="13" t="n">
        <x:v>9</x:v>
      </x:c>
      <x:c r="J28" s="12" t="n">
        <x:v>126.8</x:v>
      </x:c>
      <x:c r="K28" s="12" t="n">
        <x:v>128</x:v>
      </x:c>
      <x:c r="L28" s="12" t="n">
        <x:v>-1.2</x:v>
      </x:c>
      <x:c r="M28" s="12" t="n">
        <x:v>127.2</x:v>
      </x:c>
      <x:c r="N28" s="12" t="n">
        <x:v>12.9</x:v>
      </x:c>
      <x:c r="O28" s="12" t="n">
        <x:v>-19.7</x:v>
      </x:c>
      <x:c r="P28" s="11" t="str">
        <x:v>High</x:v>
      </x:c>
      <x:c r="Q28" s="13" t="n">
        <x:v>24</x:v>
      </x:c>
      <x:c r="R28" s="13" t="n">
        <x:v>18</x:v>
      </x:c>
      <x:c r="S28" s="12" t="n">
        <x:v>69.8</x:v>
      </x:c>
      <x:c r="T28" s="12"/>
      <x:c r="U28" s="12" t="n">
        <x:v>0.3</x:v>
      </x:c>
      <x:c r="V28" s="12"/>
      <x:c r="W28" s="12" t="n">
        <x:v>6.7</x:v>
      </x:c>
      <x:c r="X28" s="13" t="n">
        <x:v>17</x:v>
      </x:c>
      <x:c r="Y28" s="11"/>
      <x:c r="Z28" s="11" t="str">
        <x:v>Veteran model: 2025 form, prior-year trend and same team pass/run forecast; team pass volume #24, rush volume #18</x:v>
      </x:c>
    </x:row>
    <x:row r="29" ht="19" customHeight="1">
      <x:c r="A29" s="13" t="n">
        <x:v>25</x:v>
      </x:c>
      <x:c r="B29" s="13" t="n">
        <x:v>146</x:v>
      </x:c>
      <x:c r="C29" s="13" t="n">
        <x:v>122</x:v>
      </x:c>
      <x:c r="D29" s="12" t="n">
        <x:v>232.2</x:v>
      </x:c>
      <x:c r="E29" s="12" t="n">
        <x:v>86.2</x:v>
      </x:c>
      <x:c r="F29" s="12" t="n">
        <x:v>110.2</x:v>
      </x:c>
      <x:c r="G29" s="11" t="str">
        <x:v>Theo Johnson</x:v>
      </x:c>
      <x:c r="H29" s="11" t="str">
        <x:v>NYG</x:v>
      </x:c>
      <x:c r="I29" s="13" t="n">
        <x:v>8</x:v>
      </x:c>
      <x:c r="J29" s="12" t="n">
        <x:v>140.4</x:v>
      </x:c>
      <x:c r="K29" s="12" t="n">
        <x:v>77</x:v>
      </x:c>
      <x:c r="L29" s="12" t="n">
        <x:v>63.4</x:v>
      </x:c>
      <x:c r="M29" s="12" t="n">
        <x:v>118.2</x:v>
      </x:c>
      <x:c r="N29" s="12" t="n">
        <x:v>12.9</x:v>
      </x:c>
      <x:c r="O29" s="12" t="n">
        <x:v>-26.6</x:v>
      </x:c>
      <x:c r="P29" s="11" t="str">
        <x:v>High</x:v>
      </x:c>
      <x:c r="Q29" s="13" t="n">
        <x:v>19</x:v>
      </x:c>
      <x:c r="R29" s="13" t="n">
        <x:v>10</x:v>
      </x:c>
      <x:c r="S29" s="12" t="n">
        <x:v>73.1</x:v>
      </x:c>
      <x:c r="T29" s="12"/>
      <x:c r="U29" s="12" t="n">
        <x:v>0</x:v>
      </x:c>
      <x:c r="V29" s="12"/>
      <x:c r="W29" s="12" t="n">
        <x:v>8.5</x:v>
      </x:c>
      <x:c r="X29" s="13" t="n">
        <x:v>15</x:v>
      </x:c>
      <x:c r="Y29" s="11"/>
      <x:c r="Z29" s="11" t="str">
        <x:v>Veteran model: 2025 form, prior-year trend and same team pass/run forecast; team pass volume #19, rush volume #10</x:v>
      </x:c>
    </x:row>
    <x:row r="30" ht="19" customHeight="1">
      <x:c r="A30" s="13" t="n">
        <x:v>26</x:v>
      </x:c>
      <x:c r="B30" s="13" t="n">
        <x:v>147</x:v>
      </x:c>
      <x:c r="C30" s="13" t="n">
        <x:v>210</x:v>
      </x:c>
      <x:c r="D30" s="12" t="n">
        <x:v>113.7</x:v>
      </x:c>
      <x:c r="E30" s="12" t="n">
        <x:v>-33.3</x:v>
      </x:c>
      <x:c r="F30" s="12" t="n">
        <x:v>-96.3</x:v>
      </x:c>
      <x:c r="G30" s="11" t="str">
        <x:v>Isaiah Likely</x:v>
      </x:c>
      <x:c r="H30" s="11" t="str">
        <x:v>NYG</x:v>
      </x:c>
      <x:c r="I30" s="13" t="n">
        <x:v>8</x:v>
      </x:c>
      <x:c r="J30" s="12" t="n">
        <x:v>95.4</x:v>
      </x:c>
      <x:c r="K30" s="12" t="n">
        <x:v>157</x:v>
      </x:c>
      <x:c r="L30" s="12" t="n">
        <x:v>-61.6</x:v>
      </x:c>
      <x:c r="M30" s="12" t="n">
        <x:v>117</x:v>
      </x:c>
      <x:c r="N30" s="12" t="n">
        <x:v>12.6</x:v>
      </x:c>
      <x:c r="O30" s="12" t="n">
        <x:v>-26.8</x:v>
      </x:c>
      <x:c r="P30" s="11" t="str">
        <x:v>High</x:v>
      </x:c>
      <x:c r="Q30" s="13" t="n">
        <x:v>19</x:v>
      </x:c>
      <x:c r="R30" s="13" t="n">
        <x:v>10</x:v>
      </x:c>
      <x:c r="S30" s="12" t="n">
        <x:v>53.8</x:v>
      </x:c>
      <x:c r="T30" s="12"/>
      <x:c r="U30" s="12" t="n">
        <x:v>0</x:v>
      </x:c>
      <x:c r="V30" s="12"/>
      <x:c r="W30" s="12" t="n">
        <x:v>4.4</x:v>
      </x:c>
      <x:c r="X30" s="13" t="n">
        <x:v>14</x:v>
      </x:c>
      <x:c r="Y30" s="11"/>
      <x:c r="Z30" s="11" t="str">
        <x:v>Veteran model: 2025 form, prior-year trend and new team pass/run forecast; team pass volume #19, rush volume #10</x:v>
      </x:c>
    </x:row>
    <x:row r="31" ht="19" customHeight="1">
      <x:c r="A31" s="13" t="n">
        <x:v>27</x:v>
      </x:c>
      <x:c r="B31" s="13" t="n">
        <x:v>156</x:v>
      </x:c>
      <x:c r="C31" s="13" t="n">
        <x:v>214</x:v>
      </x:c>
      <x:c r="D31" s="12" t="n">
        <x:v>234.3</x:v>
      </x:c>
      <x:c r="E31" s="12" t="n">
        <x:v>78.3</x:v>
      </x:c>
      <x:c r="F31" s="12" t="n">
        <x:v>20.3</x:v>
      </x:c>
      <x:c r="G31" s="11" t="str">
        <x:v>Gunnar Helm</x:v>
      </x:c>
      <x:c r="H31" s="11" t="str">
        <x:v>TEN</x:v>
      </x:c>
      <x:c r="I31" s="13" t="n">
        <x:v>9</x:v>
      </x:c>
      <x:c r="J31" s="12" t="n">
        <x:v>98.4</x:v>
      </x:c>
      <x:c r="K31" s="12" t="n">
        <x:v>130</x:v>
      </x:c>
      <x:c r="L31" s="12" t="n">
        <x:v>-31.6</x:v>
      </x:c>
      <x:c r="M31" s="12" t="n">
        <x:v>114.2</x:v>
      </x:c>
      <x:c r="N31" s="12" t="n">
        <x:v>13.6</x:v>
      </x:c>
      <x:c r="O31" s="12" t="n">
        <x:v>-31.2</x:v>
      </x:c>
      <x:c r="P31" s="11" t="str">
        <x:v>Medium</x:v>
      </x:c>
      <x:c r="Q31" s="13" t="n">
        <x:v>18</x:v>
      </x:c>
      <x:c r="R31" s="13" t="n">
        <x:v>30</x:v>
      </x:c>
      <x:c r="S31" s="12" t="n">
        <x:v>60.2</x:v>
      </x:c>
      <x:c r="T31" s="12"/>
      <x:c r="U31" s="12" t="n">
        <x:v>0</x:v>
      </x:c>
      <x:c r="V31" s="12"/>
      <x:c r="W31" s="12" t="n">
        <x:v>5.7</x:v>
      </x:c>
      <x:c r="X31" s="13" t="n">
        <x:v>16</x:v>
      </x:c>
      <x:c r="Y31" s="11"/>
      <x:c r="Z31" s="11" t="str">
        <x:v>Veteran model: 2025 form, prior-year trend and same team pass/run forecast; team pass volume #18, rush volume #30</x:v>
      </x:c>
    </x:row>
    <x:row r="32" ht="19" customHeight="1">
      <x:c r="A32" s="13" t="n">
        <x:v>28</x:v>
      </x:c>
      <x:c r="B32" s="13" t="n">
        <x:v>181</x:v>
      </x:c>
      <x:c r="C32" s="13" t="n">
        <x:v>168</x:v>
      </x:c>
      <x:c r="D32" s="12" t="n">
        <x:v>145.6</x:v>
      </x:c>
      <x:c r="E32" s="12" t="n">
        <x:v>-35.4</x:v>
      </x:c>
      <x:c r="F32" s="12" t="n">
        <x:v>-22.4</x:v>
      </x:c>
      <x:c r="G32" s="11" t="str">
        <x:v>Kenyon Sadiq</x:v>
      </x:c>
      <x:c r="H32" s="11" t="str">
        <x:v>NYJ</x:v>
      </x:c>
      <x:c r="I32" s="13" t="n">
        <x:v>13</x:v>
      </x:c>
      <x:c r="J32" s="12" t="n">
        <x:v>129.5</x:v>
      </x:c>
      <x:c r="K32" s="12" t="n">
        <x:v>100</x:v>
      </x:c>
      <x:c r="L32" s="12" t="n">
        <x:v>29.5</x:v>
      </x:c>
      <x:c r="M32" s="12" t="n">
        <x:v>107.4</x:v>
      </x:c>
      <x:c r="N32" s="12" t="n">
        <x:v>17</x:v>
      </x:c>
      <x:c r="O32" s="12" t="n">
        <x:v>-45.8</x:v>
      </x:c>
      <x:c r="P32" s="11" t="str">
        <x:v>Low</x:v>
      </x:c>
      <x:c r="Q32" s="13" t="n">
        <x:v>20</x:v>
      </x:c>
      <x:c r="R32" s="13" t="n">
        <x:v>28</x:v>
      </x:c>
      <x:c r="S32" s="12" t="n">
        <x:v>0</x:v>
      </x:c>
      <x:c r="T32" s="12"/>
      <x:c r="U32" s="12" t="n">
        <x:v>0</x:v>
      </x:c>
      <x:c r="V32" s="12" t="n">
        <x:v>2</x:v>
      </x:c>
      <x:c r="W32" s="12"/>
      <x:c r="X32" s="13"/>
      <x:c r="Y32" s="11" t="str">
        <x:v>Ques</x:v>
      </x:c>
      <x:c r="Z32" s="11" t="str">
        <x:v>Rookie model: pick 16, age and destination-team environment; team pass volume #20, rush volume #28</x:v>
      </x:c>
    </x:row>
    <x:row r="33" ht="19" customHeight="1">
      <x:c r="A33" s="13" t="n">
        <x:v>29</x:v>
      </x:c>
      <x:c r="B33" s="13" t="n">
        <x:v>150</x:v>
      </x:c>
      <x:c r="C33" s="13" t="n">
        <x:v>176</x:v>
      </x:c>
      <x:c r="D33" s="12" t="n">
        <x:v>230.4</x:v>
      </x:c>
      <x:c r="E33" s="12" t="n">
        <x:v>80.4</x:v>
      </x:c>
      <x:c r="F33" s="12" t="n">
        <x:v>54.4</x:v>
      </x:c>
      <x:c r="G33" s="11" t="str">
        <x:v>Greg Dulcich</x:v>
      </x:c>
      <x:c r="H33" s="11" t="str">
        <x:v>MIA</x:v>
      </x:c>
      <x:c r="I33" s="13" t="n">
        <x:v>6</x:v>
      </x:c>
      <x:c r="J33" s="12" t="n">
        <x:v>102.8</x:v>
      </x:c>
      <x:c r="K33" s="12" t="n">
        <x:v>111</x:v>
      </x:c>
      <x:c r="L33" s="12" t="n">
        <x:v>-8.2</x:v>
      </x:c>
      <x:c r="M33" s="12" t="n">
        <x:v>106.9</x:v>
      </x:c>
      <x:c r="N33" s="12" t="n">
        <x:v>10.5</x:v>
      </x:c>
      <x:c r="O33" s="12" t="n">
        <x:v>-28.6</x:v>
      </x:c>
      <x:c r="P33" s="11" t="str">
        <x:v>Medium</x:v>
      </x:c>
      <x:c r="Q33" s="13" t="n">
        <x:v>25</x:v>
      </x:c>
      <x:c r="R33" s="13" t="n">
        <x:v>24</x:v>
      </x:c>
      <x:c r="S33" s="12" t="n">
        <x:v>56.8</x:v>
      </x:c>
      <x:c r="T33" s="12"/>
      <x:c r="U33" s="12" t="n">
        <x:v>0</x:v>
      </x:c>
      <x:c r="V33" s="12"/>
      <x:c r="W33" s="12" t="n">
        <x:v>6.3</x:v>
      </x:c>
      <x:c r="X33" s="13" t="n">
        <x:v>10</x:v>
      </x:c>
      <x:c r="Y33" s="11"/>
      <x:c r="Z33" s="11" t="str">
        <x:v>Veteran model: 2025 form, prior-year trend and same team pass/run forecast; team pass volume #25, rush volume #24</x:v>
      </x:c>
    </x:row>
    <x:row r="34" ht="19" customHeight="1">
      <x:c r="A34" s="13" t="n">
        <x:v>30</x:v>
      </x:c>
      <x:c r="B34" s="13" t="n">
        <x:v>166</x:v>
      </x:c>
      <x:c r="C34" s="13" t="n">
        <x:v>179</x:v>
      </x:c>
      <x:c r="D34" s="12" t="n">
        <x:v>224.3</x:v>
      </x:c>
      <x:c r="E34" s="12" t="n">
        <x:v>58.3</x:v>
      </x:c>
      <x:c r="F34" s="12" t="n">
        <x:v>45.3</x:v>
      </x:c>
      <x:c r="G34" s="11" t="str">
        <x:v>Mason Taylor</x:v>
      </x:c>
      <x:c r="H34" s="11" t="str">
        <x:v>NYJ</x:v>
      </x:c>
      <x:c r="I34" s="13" t="n">
        <x:v>13</x:v>
      </x:c>
      <x:c r="J34" s="12" t="n">
        <x:v>112.5</x:v>
      </x:c>
      <x:c r="K34" s="12" t="n">
        <x:v>96</x:v>
      </x:c>
      <x:c r="L34" s="12" t="n">
        <x:v>16.5</x:v>
      </x:c>
      <x:c r="M34" s="12" t="n">
        <x:v>104.2</x:v>
      </x:c>
      <x:c r="N34" s="12" t="n">
        <x:v>13.1</x:v>
      </x:c>
      <x:c r="O34" s="12" t="n">
        <x:v>-37.8</x:v>
      </x:c>
      <x:c r="P34" s="11" t="str">
        <x:v>Medium</x:v>
      </x:c>
      <x:c r="Q34" s="13" t="n">
        <x:v>20</x:v>
      </x:c>
      <x:c r="R34" s="13" t="n">
        <x:v>28</x:v>
      </x:c>
      <x:c r="S34" s="12" t="n">
        <x:v>72.1</x:v>
      </x:c>
      <x:c r="T34" s="12"/>
      <x:c r="U34" s="12" t="n">
        <x:v>0</x:v>
      </x:c>
      <x:c r="V34" s="12"/>
      <x:c r="W34" s="12" t="n">
        <x:v>6.8</x:v>
      </x:c>
      <x:c r="X34" s="13" t="n">
        <x:v>13</x:v>
      </x:c>
      <x:c r="Y34" s="11"/>
      <x:c r="Z34" s="11" t="str">
        <x:v>Veteran model: 2025 form, prior-year trend and same team pass/run forecast; team pass volume #20, rush volume #28</x:v>
      </x:c>
    </x:row>
    <x:row r="35" ht="19" customHeight="1">
      <x:c r="A35" s="13" t="n">
        <x:v>31</x:v>
      </x:c>
      <x:c r="B35" s="13" t="n">
        <x:v>164</x:v>
      </x:c>
      <x:c r="C35" s="13" t="n">
        <x:v>198</x:v>
      </x:c>
      <x:c r="D35" s="12" t="n">
        <x:v>209.4</x:v>
      </x:c>
      <x:c r="E35" s="12" t="n">
        <x:v>45.4</x:v>
      </x:c>
      <x:c r="F35" s="12" t="n">
        <x:v>11.4</x:v>
      </x:c>
      <x:c r="G35" s="11" t="str">
        <x:v>Terrance Ferguson</x:v>
      </x:c>
      <x:c r="H35" s="11" t="str">
        <x:v>LAR</x:v>
      </x:c>
      <x:c r="I35" s="13" t="n">
        <x:v>11</x:v>
      </x:c>
      <x:c r="J35" s="12" t="n">
        <x:v>95.3</x:v>
      </x:c>
      <x:c r="K35" s="12" t="n">
        <x:v>100</x:v>
      </x:c>
      <x:c r="L35" s="12" t="n">
        <x:v>-4.7</x:v>
      </x:c>
      <x:c r="M35" s="12" t="n">
        <x:v>97.7</x:v>
      </x:c>
      <x:c r="N35" s="12" t="n">
        <x:v>11.5</x:v>
      </x:c>
      <x:c r="O35" s="12" t="n">
        <x:v>-37.5</x:v>
      </x:c>
      <x:c r="P35" s="11" t="str">
        <x:v>Medium</x:v>
      </x:c>
      <x:c r="Q35" s="13" t="n">
        <x:v>7</x:v>
      </x:c>
      <x:c r="R35" s="13" t="n">
        <x:v>14</x:v>
      </x:c>
      <x:c r="S35" s="12" t="n">
        <x:v>53.4</x:v>
      </x:c>
      <x:c r="T35" s="12"/>
      <x:c r="U35" s="12" t="n">
        <x:v>1.1</x:v>
      </x:c>
      <x:c r="V35" s="12"/>
      <x:c r="W35" s="12" t="n">
        <x:v>4</x:v>
      </x:c>
      <x:c r="X35" s="13" t="n">
        <x:v>13</x:v>
      </x:c>
      <x:c r="Y35" s="11"/>
      <x:c r="Z35" s="11" t="str">
        <x:v>Veteran model: 2025 form, prior-year trend and same team pass/run forecast; team pass volume #7, rush volume #14</x:v>
      </x:c>
    </x:row>
    <x:row r="36" ht="19" customHeight="1">
      <x:c r="A36" s="13" t="n">
        <x:v>32</x:v>
      </x:c>
      <x:c r="B36" s="13" t="n">
        <x:v>180</x:v>
      </x:c>
      <x:c r="C36" s="13" t="n">
        <x:v>172</x:v>
      </x:c>
      <x:c r="D36" s="12" t="n">
        <x:v>239.6</x:v>
      </x:c>
      <x:c r="E36" s="12" t="n">
        <x:v>59.6</x:v>
      </x:c>
      <x:c r="F36" s="12" t="n">
        <x:v>67.6</x:v>
      </x:c>
      <x:c r="G36" s="11" t="str">
        <x:v>Eli Stowers</x:v>
      </x:c>
      <x:c r="H36" s="11" t="str">
        <x:v>PHI</x:v>
      </x:c>
      <x:c r="I36" s="13" t="n">
        <x:v>10</x:v>
      </x:c>
      <x:c r="J36" s="12" t="n">
        <x:v>111.2</x:v>
      </x:c>
      <x:c r="K36" s="12" t="n">
        <x:v>81</x:v>
      </x:c>
      <x:c r="L36" s="12" t="n">
        <x:v>30.2</x:v>
      </x:c>
      <x:c r="M36" s="12" t="n">
        <x:v>88.5</x:v>
      </x:c>
      <x:c r="N36" s="12" t="n">
        <x:v>11.9</x:v>
      </x:c>
      <x:c r="O36" s="12" t="n">
        <x:v>-45.3</x:v>
      </x:c>
      <x:c r="P36" s="11" t="str">
        <x:v>Low</x:v>
      </x:c>
      <x:c r="Q36" s="13" t="n">
        <x:v>31</x:v>
      </x:c>
      <x:c r="R36" s="13" t="n">
        <x:v>2</x:v>
      </x:c>
      <x:c r="S36" s="12" t="n">
        <x:v>0</x:v>
      </x:c>
      <x:c r="T36" s="12"/>
      <x:c r="U36" s="12" t="n">
        <x:v>0</x:v>
      </x:c>
      <x:c r="V36" s="12" t="n">
        <x:v>2</x:v>
      </x:c>
      <x:c r="W36" s="12"/>
      <x:c r="X36" s="13"/>
      <x:c r="Y36" s="11"/>
      <x:c r="Z36" s="11" t="str">
        <x:v>Rookie model: pick 54, age and destination-team environment; team pass volume #31, rush volume #2</x:v>
      </x:c>
    </x:row>
    <x:row r="37" ht="19" customHeight="1">
      <x:c r="A37" s="13" t="n">
        <x:v>33</x:v>
      </x:c>
      <x:c r="B37" s="13" t="n">
        <x:v>177</x:v>
      </x:c>
      <x:c r="C37" s="13" t="n">
        <x:v>165</x:v>
      </x:c>
      <x:c r="D37" s="12" t="n">
        <x:v>207.5</x:v>
      </x:c>
      <x:c r="E37" s="12" t="n">
        <x:v>30.5</x:v>
      </x:c>
      <x:c r="F37" s="12" t="n">
        <x:v>42.5</x:v>
      </x:c>
      <x:c r="G37" s="11" t="str">
        <x:v>David Njoku</x:v>
      </x:c>
      <x:c r="H37" s="11" t="str">
        <x:v>LAC</x:v>
      </x:c>
      <x:c r="I37" s="13" t="n">
        <x:v>7</x:v>
      </x:c>
      <x:c r="J37" s="12" t="n">
        <x:v>115.2</x:v>
      </x:c>
      <x:c r="K37" s="12" t="n">
        <x:v>58</x:v>
      </x:c>
      <x:c r="L37" s="12" t="n">
        <x:v>57.2</x:v>
      </x:c>
      <x:c r="M37" s="12" t="n">
        <x:v>86.6</x:v>
      </x:c>
      <x:c r="N37" s="12" t="n">
        <x:v>11.3</x:v>
      </x:c>
      <x:c r="O37" s="12" t="n">
        <x:v>-44.3</x:v>
      </x:c>
      <x:c r="P37" s="11" t="str">
        <x:v>Medium</x:v>
      </x:c>
      <x:c r="Q37" s="13" t="n">
        <x:v>14</x:v>
      </x:c>
      <x:c r="R37" s="13" t="n">
        <x:v>16</x:v>
      </x:c>
      <x:c r="S37" s="12" t="n">
        <x:v>70.7</x:v>
      </x:c>
      <x:c r="T37" s="12"/>
      <x:c r="U37" s="12" t="n">
        <x:v>0</x:v>
      </x:c>
      <x:c r="V37" s="12"/>
      <x:c r="W37" s="12" t="n">
        <x:v>7.2</x:v>
      </x:c>
      <x:c r="X37" s="13" t="n">
        <x:v>12</x:v>
      </x:c>
      <x:c r="Y37" s="11"/>
      <x:c r="Z37" s="11" t="str">
        <x:v>Veteran model: 2025 form, prior-year trend and new team pass/run forecast; team pass volume #14, rush volume #16</x:v>
      </x:c>
    </x:row>
    <x:row r="38" ht="19" customHeight="1">
      <x:c r="A38" s="13" t="n">
        <x:v>34</x:v>
      </x:c>
      <x:c r="B38" s="13" t="n">
        <x:v>183</x:v>
      </x:c>
      <x:c r="C38" s="13" t="n">
        <x:v>209</x:v>
      </x:c>
      <x:c r="D38" s="12" t="n">
        <x:v>241.4</x:v>
      </x:c>
      <x:c r="E38" s="12" t="n">
        <x:v>58.4</x:v>
      </x:c>
      <x:c r="F38" s="12" t="n">
        <x:v>32.4</x:v>
      </x:c>
      <x:c r="G38" s="11" t="str">
        <x:v>Jake Tonges</x:v>
      </x:c>
      <x:c r="H38" s="11" t="str">
        <x:v>SF</x:v>
      </x:c>
      <x:c r="I38" s="13" t="n">
        <x:v>8</x:v>
      </x:c>
      <x:c r="J38" s="12" t="n">
        <x:v>82.7</x:v>
      </x:c>
      <x:c r="K38" s="12" t="n">
        <x:v>71</x:v>
      </x:c>
      <x:c r="L38" s="12" t="n">
        <x:v>11.7</x:v>
      </x:c>
      <x:c r="M38" s="12" t="n">
        <x:v>76.9</x:v>
      </x:c>
      <x:c r="N38" s="12" t="n">
        <x:v>10.3</x:v>
      </x:c>
      <x:c r="O38" s="12" t="n">
        <x:v>-46.2</x:v>
      </x:c>
      <x:c r="P38" s="11" t="str">
        <x:v>Medium</x:v>
      </x:c>
      <x:c r="Q38" s="13" t="n">
        <x:v>16</x:v>
      </x:c>
      <x:c r="R38" s="13" t="n">
        <x:v>9</x:v>
      </x:c>
      <x:c r="S38" s="12" t="n">
        <x:v>51.2</x:v>
      </x:c>
      <x:c r="T38" s="12"/>
      <x:c r="U38" s="12" t="n">
        <x:v>0.7</x:v>
      </x:c>
      <x:c r="V38" s="12"/>
      <x:c r="W38" s="12" t="n">
        <x:v>5.8</x:v>
      </x:c>
      <x:c r="X38" s="13" t="n">
        <x:v>16</x:v>
      </x:c>
      <x:c r="Y38" s="11"/>
      <x:c r="Z38" s="11" t="str">
        <x:v>Veteran model: 2025 form, prior-year trend and same team pass/run forecast; team pass volume #16, rush volume #9</x:v>
      </x:c>
    </x:row>
  </x:sheetData>
  <x:mergeCells>
    <x:mergeCell ref="A1:Z1"/>
    <x:mergeCell ref="A2:Z2"/>
  </x:mergeCells>
  <x:conditionalFormatting sqref="E5:F38">
    <x:cfRule type="colorScale" priority="1">
      <x:colorScale>
        <x:cfvo type="min"/>
        <x:cfvo type="percentile" val="50"/>
        <x:cfvo type="max"/>
        <x:color rgb="FFE67C73"/>
        <x:color rgb="FFFFF0C2"/>
        <x:color rgb="FF63BE7B"/>
      </x:colorScale>
    </x:cfRule>
  </x:conditionalFormatting>
  <x:conditionalFormatting sqref="J5:O38">
    <x:cfRule type="colorScale" priority="2">
      <x:colorScale>
        <x:cfvo type="min"/>
        <x:cfvo type="percentile" val="50"/>
        <x:cfvo type="max"/>
        <x:color rgb="FFE67C73"/>
        <x:color rgb="FFFFF0C2"/>
        <x:color rgb="FF63BE7B"/>
      </x:colorScale>
    </x:cfRule>
  </x:conditionalFormatting>
  <x:conditionalFormatting sqref="P5:P38">
    <x:cfRule type="containsText" dxfId="50" priority="3" operator="containsText" text="High"/>
    <x:cfRule type="containsText" dxfId="51" priority="4" operator="containsText" text="Medium"/>
    <x:cfRule type="containsText" dxfId="52" priority="5" operator="containsText" text="Low"/>
  </x:conditionalFormatting>
  <x:conditionalFormatting sqref="Y5:Y38">
    <x:cfRule type="notContainsBlanks" dxfId="53" priority="6"/>
  </x:conditionalFormatting>
  <x:pageMargins left="0.7" right="0.7" top="0.75" bottom="0.75" header="0.3" footer="0.3"/>
  <x:tableParts count="1">
    <x:tablePart xmlns:r="http://schemas.openxmlformats.org/officeDocument/2006/relationships" r:id="Rc6a1a97ed5e144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" hidden="0" customWidth="1"/>
    <x:col min="3" max="3" width="12" hidden="0" customWidth="1"/>
    <x:col min="4" max="4" width="11" hidden="0" customWidth="1"/>
    <x:col min="5" max="5" width="12" hidden="0" customWidth="1"/>
    <x:col min="6" max="6" width="11" hidden="0" customWidth="1"/>
    <x:col min="7" max="7" width="10" hidden="0" customWidth="1"/>
    <x:col min="8" max="8" width="12" hidden="0" customWidth="1"/>
    <x:col min="9" max="9" width="12" hidden="0" customWidth="1"/>
    <x:col min="10" max="10" width="11" hidden="0" customWidth="1"/>
    <x:col min="11" max="11" width="10" hidden="0" customWidth="1"/>
    <x:col min="12" max="12" width="13" hidden="0" customWidth="1"/>
  </x:cols>
  <x:sheetData>
    <x:row r="1" ht="32" customHeight="1">
      <x:c r="A1" s="3" t="str">
        <x:v>2026 TEAM ENVIRONMENT</x:v>
      </x:c>
    </x:row>
    <x:row r="2" ht="26" customHeight="1">
      <x:c r="A2" s="7" t="str">
        <x:v>Three-year weighted 2025-back forecast, shrunk 20% toward league average; rank 1 means highest projected volume</x:v>
      </x:c>
    </x:row>
    <x:row r="4" ht="25" customHeight="1">
      <x:c r="A4" s="11" t="str">
        <x:v>Pass Rank</x:v>
      </x:c>
      <x:c r="B4" s="11" t="str">
        <x:v>Team</x:v>
      </x:c>
      <x:c r="C4" s="11" t="str">
        <x:v>Pass Att/G</x:v>
      </x:c>
      <x:c r="D4" s="11" t="str">
        <x:v>Pass Rate</x:v>
      </x:c>
      <x:c r="E4" s="11" t="str">
        <x:v>Pass Yds/G</x:v>
      </x:c>
      <x:c r="F4" s="11" t="str">
        <x:v>Pass TD/G</x:v>
      </x:c>
      <x:c r="G4" s="11" t="str">
        <x:v>Rush Rank</x:v>
      </x:c>
      <x:c r="H4" s="11" t="str">
        <x:v>Carries/G</x:v>
      </x:c>
      <x:c r="I4" s="11" t="str">
        <x:v>Rush Yds/G</x:v>
      </x:c>
      <x:c r="J4" s="11" t="str">
        <x:v>Rush TD/G</x:v>
      </x:c>
      <x:c r="K4" s="11" t="str">
        <x:v>Plays/G</x:v>
      </x:c>
      <x:c r="L4" s="11" t="str">
        <x:v>Pass EPA/Att</x:v>
      </x:c>
    </x:row>
    <x:row r="5" ht="19" customHeight="1">
      <x:c r="A5" s="13" t="n">
        <x:v>1</x:v>
      </x:c>
      <x:c r="B5" s="11" t="str">
        <x:v>CIN</x:v>
      </x:c>
      <x:c r="C5" s="14" t="n">
        <x:v>36.52</x:v>
      </x:c>
      <x:c r="D5" s="15" t="n">
        <x:v>0.625</x:v>
      </x:c>
      <x:c r="E5" s="14" t="n">
        <x:v>254.3</x:v>
      </x:c>
      <x:c r="F5" s="14" t="n">
        <x:v>2.03</x:v>
      </x:c>
      <x:c r="G5" s="14" t="n">
        <x:v>31</x:v>
      </x:c>
      <x:c r="H5" s="14" t="n">
        <x:v>23.3</x:v>
      </x:c>
      <x:c r="I5" s="14" t="n">
        <x:v>97.6</x:v>
      </x:c>
      <x:c r="J5" s="14" t="n">
        <x:v>0.71</x:v>
      </x:c>
      <x:c r="K5" s="14" t="n">
        <x:v>62.3</x:v>
      </x:c>
      <x:c r="L5" s="14" t="n">
        <x:v>0.06</x:v>
      </x:c>
    </x:row>
    <x:row r="6" ht="19" customHeight="1">
      <x:c r="A6" s="13" t="n">
        <x:v>2</x:v>
      </x:c>
      <x:c r="B6" s="11" t="str">
        <x:v>DAL</x:v>
      </x:c>
      <x:c r="C6" s="14" t="n">
        <x:v>35.89</x:v>
      </x:c>
      <x:c r="D6" s="15" t="n">
        <x:v>0.586</x:v>
      </x:c>
      <x:c r="E6" s="14" t="n">
        <x:v>258.2</x:v>
      </x:c>
      <x:c r="F6" s="14" t="n">
        <x:v>1.68</x:v>
      </x:c>
      <x:c r="G6" s="14" t="n">
        <x:v>20</x:v>
      </x:c>
      <x:c r="H6" s="14" t="n">
        <x:v>26.76</x:v>
      </x:c>
      <x:c r="I6" s="14" t="n">
        <x:v>116.3</x:v>
      </x:c>
      <x:c r="J6" s="14" t="n">
        <x:v>0.84</x:v>
      </x:c>
      <x:c r="K6" s="14" t="n">
        <x:v>64.7</x:v>
      </x:c>
      <x:c r="L6" s="14" t="n">
        <x:v>0.093</x:v>
      </x:c>
    </x:row>
    <x:row r="7" ht="19" customHeight="1">
      <x:c r="A7" s="13" t="n">
        <x:v>3</x:v>
      </x:c>
      <x:c r="B7" s="11" t="str">
        <x:v>ARI</x:v>
      </x:c>
      <x:c r="C7" s="14" t="n">
        <x:v>34.79</x:v>
      </x:c>
      <x:c r="D7" s="15" t="n">
        <x:v>0.602</x:v>
      </x:c>
      <x:c r="E7" s="14" t="n">
        <x:v>236.4</x:v>
      </x:c>
      <x:c r="F7" s="14" t="n">
        <x:v>1.47</x:v>
      </x:c>
      <x:c r="G7" s="14" t="n">
        <x:v>29</x:v>
      </x:c>
      <x:c r="H7" s="14" t="n">
        <x:v>24.7</x:v>
      </x:c>
      <x:c r="I7" s="14" t="n">
        <x:v>115.7</x:v>
      </x:c>
      <x:c r="J7" s="14" t="n">
        <x:v>0.79</x:v>
      </x:c>
      <x:c r="K7" s="14" t="n">
        <x:v>62.2</x:v>
      </x:c>
      <x:c r="L7" s="14" t="n">
        <x:v>0.016</x:v>
      </x:c>
    </x:row>
    <x:row r="8" ht="19" customHeight="1">
      <x:c r="A8" s="13" t="n">
        <x:v>4</x:v>
      </x:c>
      <x:c r="B8" s="11" t="str">
        <x:v>CLE</x:v>
      </x:c>
      <x:c r="C8" s="14" t="n">
        <x:v>34.59</x:v>
      </x:c>
      <x:c r="D8" s="15" t="n">
        <x:v>0.596</x:v>
      </x:c>
      <x:c r="E8" s="14" t="n">
        <x:v>209.7</x:v>
      </x:c>
      <x:c r="F8" s="14" t="n">
        <x:v>1.15</x:v>
      </x:c>
      <x:c r="G8" s="14" t="n">
        <x:v>26</x:v>
      </x:c>
      <x:c r="H8" s="14" t="n">
        <x:v>25.44</x:v>
      </x:c>
      <x:c r="I8" s="14" t="n">
        <x:v>103</x:v>
      </x:c>
      <x:c r="J8" s="14" t="n">
        <x:v>0.67</x:v>
      </x:c>
      <x:c r="K8" s="14" t="n">
        <x:v>63.1</x:v>
      </x:c>
      <x:c r="L8" s="14" t="n">
        <x:v>-0.207</x:v>
      </x:c>
    </x:row>
    <x:row r="9" ht="19" customHeight="1">
      <x:c r="A9" s="13" t="n">
        <x:v>5</x:v>
      </x:c>
      <x:c r="B9" s="11" t="str">
        <x:v>KC</x:v>
      </x:c>
      <x:c r="C9" s="14" t="n">
        <x:v>34.48</x:v>
      </x:c>
      <x:c r="D9" s="15" t="n">
        <x:v>0.589</x:v>
      </x:c>
      <x:c r="E9" s="14" t="n">
        <x:v>235.2</x:v>
      </x:c>
      <x:c r="F9" s="14" t="n">
        <x:v>1.46</x:v>
      </x:c>
      <x:c r="G9" s="14" t="n">
        <x:v>25</x:v>
      </x:c>
      <x:c r="H9" s="14" t="n">
        <x:v>25.79</x:v>
      </x:c>
      <x:c r="I9" s="14" t="n">
        <x:v>108.2</x:v>
      </x:c>
      <x:c r="J9" s="14" t="n">
        <x:v>0.85</x:v>
      </x:c>
      <x:c r="K9" s="14" t="n">
        <x:v>62.7</x:v>
      </x:c>
      <x:c r="L9" s="14" t="n">
        <x:v>0.057</x:v>
      </x:c>
    </x:row>
    <x:row r="10" ht="19" customHeight="1">
      <x:c r="A10" s="13" t="n">
        <x:v>6</x:v>
      </x:c>
      <x:c r="B10" s="11" t="str">
        <x:v>DEN</x:v>
      </x:c>
      <x:c r="C10" s="14" t="n">
        <x:v>33.95</x:v>
      </x:c>
      <x:c r="D10" s="15" t="n">
        <x:v>0.57</x:v>
      </x:c>
      <x:c r="E10" s="14" t="n">
        <x:v>225.7</x:v>
      </x:c>
      <x:c r="F10" s="14" t="n">
        <x:v>1.57</x:v>
      </x:c>
      <x:c r="G10" s="14" t="n">
        <x:v>19</x:v>
      </x:c>
      <x:c r="H10" s="14" t="n">
        <x:v>26.86</x:v>
      </x:c>
      <x:c r="I10" s="14" t="n">
        <x:v>115.3</x:v>
      </x:c>
      <x:c r="J10" s="14" t="n">
        <x:v>0.88</x:v>
      </x:c>
      <x:c r="K10" s="14" t="n">
        <x:v>62.6</x:v>
      </x:c>
      <x:c r="L10" s="14" t="n">
        <x:v>0.063</x:v>
      </x:c>
    </x:row>
    <x:row r="11" ht="19" customHeight="1">
      <x:c r="A11" s="13" t="n">
        <x:v>7</x:v>
      </x:c>
      <x:c r="B11" s="11" t="str">
        <x:v>LA</x:v>
      </x:c>
      <x:c r="C11" s="14" t="n">
        <x:v>33.9</x:v>
      </x:c>
      <x:c r="D11" s="15" t="n">
        <x:v>0.568</x:v>
      </x:c>
      <x:c r="E11" s="14" t="n">
        <x:v>255</x:v>
      </x:c>
      <x:c r="F11" s="14" t="n">
        <x:v>1.98</x:v>
      </x:c>
      <x:c r="G11" s="14" t="n">
        <x:v>14</x:v>
      </x:c>
      <x:c r="H11" s="14" t="n">
        <x:v>27.12</x:v>
      </x:c>
      <x:c r="I11" s="14" t="n">
        <x:v>118.4</x:v>
      </x:c>
      <x:c r="J11" s="14" t="n">
        <x:v>0.97</x:v>
      </x:c>
      <x:c r="K11" s="14" t="n">
        <x:v>62.8</x:v>
      </x:c>
      <x:c r="L11" s="14" t="n">
        <x:v>0.141</x:v>
      </x:c>
    </x:row>
    <x:row r="12" ht="19" customHeight="1">
      <x:c r="A12" s="13" t="n">
        <x:v>8</x:v>
      </x:c>
      <x:c r="B12" s="11" t="str">
        <x:v>NO</x:v>
      </x:c>
      <x:c r="C12" s="14" t="n">
        <x:v>33.76</x:v>
      </x:c>
      <x:c r="D12" s="15" t="n">
        <x:v>0.58</x:v>
      </x:c>
      <x:c r="E12" s="14" t="n">
        <x:v>231.7</x:v>
      </x:c>
      <x:c r="F12" s="14" t="n">
        <x:v>1.28</x:v>
      </x:c>
      <x:c r="G12" s="14" t="n">
        <x:v>22</x:v>
      </x:c>
      <x:c r="H12" s="14" t="n">
        <x:v>26.28</x:v>
      </x:c>
      <x:c r="I12" s="14" t="n">
        <x:v>104.8</x:v>
      </x:c>
      <x:c r="J12" s="14" t="n">
        <x:v>0.72</x:v>
      </x:c>
      <x:c r="K12" s="14" t="n">
        <x:v>62.6</x:v>
      </x:c>
      <x:c r="L12" s="14" t="n">
        <x:v>-0.027</x:v>
      </x:c>
    </x:row>
    <x:row r="13" ht="19" customHeight="1">
      <x:c r="A13" s="13" t="n">
        <x:v>9</x:v>
      </x:c>
      <x:c r="B13" s="11" t="str">
        <x:v>HOU</x:v>
      </x:c>
      <x:c r="C13" s="14" t="n">
        <x:v>33.7</x:v>
      </x:c>
      <x:c r="D13" s="15" t="n">
        <x:v>0.573</x:v>
      </x:c>
      <x:c r="E13" s="14" t="n">
        <x:v>235.5</x:v>
      </x:c>
      <x:c r="F13" s="14" t="n">
        <x:v>1.39</x:v>
      </x:c>
      <x:c r="G13" s="14" t="n">
        <x:v>17</x:v>
      </x:c>
      <x:c r="H13" s="14" t="n">
        <x:v>26.92</x:v>
      </x:c>
      <x:c r="I13" s="14" t="n">
        <x:v>109.9</x:v>
      </x:c>
      <x:c r="J13" s="14" t="n">
        <x:v>0.7</x:v>
      </x:c>
      <x:c r="K13" s="14" t="n">
        <x:v>63</x:v>
      </x:c>
      <x:c r="L13" s="14" t="n">
        <x:v>0.03</x:v>
      </x:c>
    </x:row>
    <x:row r="14" ht="19" customHeight="1">
      <x:c r="A14" s="13" t="n">
        <x:v>10</x:v>
      </x:c>
      <x:c r="B14" s="11" t="str">
        <x:v>DET</x:v>
      </x:c>
      <x:c r="C14" s="14" t="n">
        <x:v>33.53</x:v>
      </x:c>
      <x:c r="D14" s="15" t="n">
        <x:v>0.562</x:v>
      </x:c>
      <x:c r="E14" s="14" t="n">
        <x:v>262.3</x:v>
      </x:c>
      <x:c r="F14" s="14" t="n">
        <x:v>1.97</x:v>
      </x:c>
      <x:c r="G14" s="14" t="n">
        <x:v>7</x:v>
      </x:c>
      <x:c r="H14" s="14" t="n">
        <x:v>27.88</x:v>
      </x:c>
      <x:c r="I14" s="14" t="n">
        <x:v>127.7</x:v>
      </x:c>
      <x:c r="J14" s="14" t="n">
        <x:v>1.33</x:v>
      </x:c>
      <x:c r="K14" s="14" t="n">
        <x:v>63.6</x:v>
      </x:c>
      <x:c r="L14" s="14" t="n">
        <x:v>0.176</x:v>
      </x:c>
    </x:row>
    <x:row r="15" ht="19" customHeight="1">
      <x:c r="A15" s="13" t="n">
        <x:v>11</x:v>
      </x:c>
      <x:c r="B15" s="11" t="str">
        <x:v>JAX</x:v>
      </x:c>
      <x:c r="C15" s="14" t="n">
        <x:v>33.07</x:v>
      </x:c>
      <x:c r="D15" s="15" t="n">
        <x:v>0.567</x:v>
      </x:c>
      <x:c r="E15" s="14" t="n">
        <x:v>232.6</x:v>
      </x:c>
      <x:c r="F15" s="14" t="n">
        <x:v>1.47</x:v>
      </x:c>
      <x:c r="G15" s="14" t="n">
        <x:v>15</x:v>
      </x:c>
      <x:c r="H15" s="14" t="n">
        <x:v>27.07</x:v>
      </x:c>
      <x:c r="I15" s="14" t="n">
        <x:v>110</x:v>
      </x:c>
      <x:c r="J15" s="14" t="n">
        <x:v>1.06</x:v>
      </x:c>
      <x:c r="K15" s="14" t="n">
        <x:v>62.4</x:v>
      </x:c>
      <x:c r="L15" s="14" t="n">
        <x:v>0.041</x:v>
      </x:c>
    </x:row>
    <x:row r="16" ht="19" customHeight="1">
      <x:c r="A16" s="13" t="n">
        <x:v>12</x:v>
      </x:c>
      <x:c r="B16" s="11" t="str">
        <x:v>TB</x:v>
      </x:c>
      <x:c r="C16" s="14" t="n">
        <x:v>32.92</x:v>
      </x:c>
      <x:c r="D16" s="15" t="n">
        <x:v>0.562</x:v>
      </x:c>
      <x:c r="E16" s="14" t="n">
        <x:v>234.3</x:v>
      </x:c>
      <x:c r="F16" s="14" t="n">
        <x:v>1.75</x:v>
      </x:c>
      <x:c r="G16" s="14" t="n">
        <x:v>11</x:v>
      </x:c>
      <x:c r="H16" s="14" t="n">
        <x:v>27.5</x:v>
      </x:c>
      <x:c r="I16" s="14" t="n">
        <x:v>120.2</x:v>
      </x:c>
      <x:c r="J16" s="14" t="n">
        <x:v>0.81</x:v>
      </x:c>
      <x:c r="K16" s="14" t="n">
        <x:v>62.7</x:v>
      </x:c>
      <x:c r="L16" s="14" t="n">
        <x:v>0.056</x:v>
      </x:c>
    </x:row>
    <x:row r="17" ht="19" customHeight="1">
      <x:c r="A17" s="13" t="n">
        <x:v>13</x:v>
      </x:c>
      <x:c r="B17" s="11" t="str">
        <x:v>CHI</x:v>
      </x:c>
      <x:c r="C17" s="14" t="n">
        <x:v>32.88</x:v>
      </x:c>
      <x:c r="D17" s="15" t="n">
        <x:v>0.555</x:v>
      </x:c>
      <x:c r="E17" s="14" t="n">
        <x:v>222.6</x:v>
      </x:c>
      <x:c r="F17" s="14" t="n">
        <x:v>1.44</x:v>
      </x:c>
      <x:c r="G17" s="14" t="n">
        <x:v>6</x:v>
      </x:c>
      <x:c r="H17" s="14" t="n">
        <x:v>28.29</x:v>
      </x:c>
      <x:c r="I17" s="14" t="n">
        <x:v>128.4</x:v>
      </x:c>
      <x:c r="J17" s="14" t="n">
        <x:v>0.98</x:v>
      </x:c>
      <x:c r="K17" s="14" t="n">
        <x:v>63.6</x:v>
      </x:c>
      <x:c r="L17" s="14" t="n">
        <x:v>0.005</x:v>
      </x:c>
    </x:row>
    <x:row r="18" ht="19" customHeight="1">
      <x:c r="A18" s="13" t="n">
        <x:v>14</x:v>
      </x:c>
      <x:c r="B18" s="11" t="str">
        <x:v>LAC</x:v>
      </x:c>
      <x:c r="C18" s="14" t="n">
        <x:v>32.8</x:v>
      </x:c>
      <x:c r="D18" s="15" t="n">
        <x:v>0.569</x:v>
      </x:c>
      <x:c r="E18" s="14" t="n">
        <x:v>232.8</x:v>
      </x:c>
      <x:c r="F18" s="14" t="n">
        <x:v>1.47</x:v>
      </x:c>
      <x:c r="G18" s="14" t="n">
        <x:v>16</x:v>
      </x:c>
      <x:c r="H18" s="14" t="n">
        <x:v>27.01</x:v>
      </x:c>
      <x:c r="I18" s="14" t="n">
        <x:v>115</x:v>
      </x:c>
      <x:c r="J18" s="14" t="n">
        <x:v>0.76</x:v>
      </x:c>
      <x:c r="K18" s="14" t="n">
        <x:v>62.8</x:v>
      </x:c>
      <x:c r="L18" s="14" t="n">
        <x:v>0.018</x:v>
      </x:c>
    </x:row>
    <x:row r="19" ht="19" customHeight="1">
      <x:c r="A19" s="13" t="n">
        <x:v>15</x:v>
      </x:c>
      <x:c r="B19" s="11" t="str">
        <x:v>LV</x:v>
      </x:c>
      <x:c r="C19" s="14" t="n">
        <x:v>32.64</x:v>
      </x:c>
      <x:c r="D19" s="15" t="n">
        <x:v>0.606</x:v>
      </x:c>
      <x:c r="E19" s="14" t="n">
        <x:v>214.8</x:v>
      </x:c>
      <x:c r="F19" s="14" t="n">
        <x:v>1.23</x:v>
      </x:c>
      <x:c r="G19" s="14" t="n">
        <x:v>32</x:v>
      </x:c>
      <x:c r="H19" s="14" t="n">
        <x:v>23.2</x:v>
      </x:c>
      <x:c r="I19" s="14" t="n">
        <x:v>87.5</x:v>
      </x:c>
      <x:c r="J19" s="14" t="n">
        <x:v>0.54</x:v>
      </x:c>
      <x:c r="K19" s="14" t="n">
        <x:v>59</x:v>
      </x:c>
      <x:c r="L19" s="14" t="n">
        <x:v>-0.119</x:v>
      </x:c>
    </x:row>
    <x:row r="20" ht="19" customHeight="1">
      <x:c r="A20" s="13" t="n">
        <x:v>16</x:v>
      </x:c>
      <x:c r="B20" s="11" t="str">
        <x:v>SF</x:v>
      </x:c>
      <x:c r="C20" s="14" t="n">
        <x:v>32.26</x:v>
      </x:c>
      <x:c r="D20" s="15" t="n">
        <x:v>0.551</x:v>
      </x:c>
      <x:c r="E20" s="14" t="n">
        <x:v>251.5</x:v>
      </x:c>
      <x:c r="F20" s="14" t="n">
        <x:v>1.71</x:v>
      </x:c>
      <x:c r="G20" s="14" t="n">
        <x:v>9</x:v>
      </x:c>
      <x:c r="H20" s="14" t="n">
        <x:v>27.79</x:v>
      </x:c>
      <x:c r="I20" s="14" t="n">
        <x:v>117.8</x:v>
      </x:c>
      <x:c r="J20" s="14" t="n">
        <x:v>1.01</x:v>
      </x:c>
      <x:c r="K20" s="14" t="n">
        <x:v>62</x:v>
      </x:c>
      <x:c r="L20" s="14" t="n">
        <x:v>0.154</x:v>
      </x:c>
    </x:row>
    <x:row r="21" ht="19" customHeight="1">
      <x:c r="A21" s="13" t="n">
        <x:v>17</x:v>
      </x:c>
      <x:c r="B21" s="11" t="str">
        <x:v>ATL</x:v>
      </x:c>
      <x:c r="C21" s="14" t="n">
        <x:v>32.15</x:v>
      </x:c>
      <x:c r="D21" s="15" t="n">
        <x:v>0.545</x:v>
      </x:c>
      <x:c r="E21" s="14" t="n">
        <x:v>228</x:v>
      </x:c>
      <x:c r="F21" s="14" t="n">
        <x:v>1.21</x:v>
      </x:c>
      <x:c r="G21" s="14" t="n">
        <x:v>5</x:v>
      </x:c>
      <x:c r="H21" s="14" t="n">
        <x:v>28.39</x:v>
      </x:c>
      <x:c r="I21" s="14" t="n">
        <x:v>125.3</x:v>
      </x:c>
      <x:c r="J21" s="14" t="n">
        <x:v>0.98</x:v>
      </x:c>
      <x:c r="K21" s="14" t="n">
        <x:v>62.4</x:v>
      </x:c>
      <x:c r="L21" s="14" t="n">
        <x:v>0.015</x:v>
      </x:c>
    </x:row>
    <x:row r="22" ht="19" customHeight="1">
      <x:c r="A22" s="13" t="n">
        <x:v>18</x:v>
      </x:c>
      <x:c r="B22" s="11" t="str">
        <x:v>TEN</x:v>
      </x:c>
      <x:c r="C22" s="14" t="n">
        <x:v>32.13</x:v>
      </x:c>
      <x:c r="D22" s="15" t="n">
        <x:v>0.589</x:v>
      </x:c>
      <x:c r="E22" s="14" t="n">
        <x:v>204.8</x:v>
      </x:c>
      <x:c r="F22" s="14" t="n">
        <x:v>1.1</x:v>
      </x:c>
      <x:c r="G22" s="14" t="n">
        <x:v>30</x:v>
      </x:c>
      <x:c r="H22" s="14" t="n">
        <x:v>24.64</x:v>
      </x:c>
      <x:c r="I22" s="14" t="n">
        <x:v>103.7</x:v>
      </x:c>
      <x:c r="J22" s="14" t="n">
        <x:v>0.69</x:v>
      </x:c>
      <x:c r="K22" s="14" t="n">
        <x:v>59.9</x:v>
      </x:c>
      <x:c r="L22" s="14" t="n">
        <x:v>-0.134</x:v>
      </x:c>
    </x:row>
    <x:row r="23" ht="19" customHeight="1">
      <x:c r="A23" s="13" t="n">
        <x:v>19</x:v>
      </x:c>
      <x:c r="B23" s="11" t="str">
        <x:v>NYG</x:v>
      </x:c>
      <x:c r="C23" s="14" t="n">
        <x:v>32.03</x:v>
      </x:c>
      <x:c r="D23" s="15" t="n">
        <x:v>0.558</x:v>
      </x:c>
      <x:c r="E23" s="14" t="n">
        <x:v>214.2</x:v>
      </x:c>
      <x:c r="F23" s="14" t="n">
        <x:v>1.16</x:v>
      </x:c>
      <x:c r="G23" s="14" t="n">
        <x:v>10</x:v>
      </x:c>
      <x:c r="H23" s="14" t="n">
        <x:v>27.78</x:v>
      </x:c>
      <x:c r="I23" s="14" t="n">
        <x:v>118.6</x:v>
      </x:c>
      <x:c r="J23" s="14" t="n">
        <x:v>1.01</x:v>
      </x:c>
      <x:c r="K23" s="14" t="n">
        <x:v>62.8</x:v>
      </x:c>
      <x:c r="L23" s="14" t="n">
        <x:v>-0.053</x:v>
      </x:c>
    </x:row>
    <x:row r="24" ht="19" customHeight="1">
      <x:c r="A24" s="13" t="n">
        <x:v>20</x:v>
      </x:c>
      <x:c r="B24" s="11" t="str">
        <x:v>NYJ</x:v>
      </x:c>
      <x:c r="C24" s="14" t="n">
        <x:v>32.01</x:v>
      </x:c>
      <x:c r="D24" s="15" t="n">
        <x:v>0.583</x:v>
      </x:c>
      <x:c r="E24" s="14" t="n">
        <x:v>197.6</x:v>
      </x:c>
      <x:c r="F24" s="14" t="n">
        <x:v>1.2</x:v>
      </x:c>
      <x:c r="G24" s="14" t="n">
        <x:v>28</x:v>
      </x:c>
      <x:c r="H24" s="14" t="n">
        <x:v>25.03</x:v>
      </x:c>
      <x:c r="I24" s="14" t="n">
        <x:v>111.3</x:v>
      </x:c>
      <x:c r="J24" s="14" t="n">
        <x:v>0.63</x:v>
      </x:c>
      <x:c r="K24" s="14" t="n">
        <x:v>60.1</x:v>
      </x:c>
      <x:c r="L24" s="14" t="n">
        <x:v>-0.112</x:v>
      </x:c>
    </x:row>
    <x:row r="25" ht="19" customHeight="1">
      <x:c r="A25" s="13" t="n">
        <x:v>21</x:v>
      </x:c>
      <x:c r="B25" s="11" t="str">
        <x:v>IND</x:v>
      </x:c>
      <x:c r="C25" s="14" t="n">
        <x:v>31.86</x:v>
      </x:c>
      <x:c r="D25" s="15" t="n">
        <x:v>0.554</x:v>
      </x:c>
      <x:c r="E25" s="14" t="n">
        <x:v>228.9</x:v>
      </x:c>
      <x:c r="F25" s="14" t="n">
        <x:v>1.35</x:v>
      </x:c>
      <x:c r="G25" s="14" t="n">
        <x:v>13</x:v>
      </x:c>
      <x:c r="H25" s="14" t="n">
        <x:v>27.19</x:v>
      </x:c>
      <x:c r="I25" s="14" t="n">
        <x:v>122.8</x:v>
      </x:c>
      <x:c r="J25" s="14" t="n">
        <x:v>1.3</x:v>
      </x:c>
      <x:c r="K25" s="14" t="n">
        <x:v>61</x:v>
      </x:c>
      <x:c r="L25" s="14" t="n">
        <x:v>0.028</x:v>
      </x:c>
    </x:row>
    <x:row r="26" ht="19" customHeight="1">
      <x:c r="A26" s="13" t="n">
        <x:v>22</x:v>
      </x:c>
      <x:c r="B26" s="11" t="str">
        <x:v>CAR</x:v>
      </x:c>
      <x:c r="C26" s="14" t="n">
        <x:v>31.6</x:v>
      </x:c>
      <x:c r="D26" s="15" t="n">
        <x:v>0.564</x:v>
      </x:c>
      <x:c r="E26" s="14" t="n">
        <x:v>201.6</x:v>
      </x:c>
      <x:c r="F26" s="14" t="n">
        <x:v>1.32</x:v>
      </x:c>
      <x:c r="G26" s="14" t="n">
        <x:v>23</x:v>
      </x:c>
      <x:c r="H26" s="14" t="n">
        <x:v>26.23</x:v>
      </x:c>
      <x:c r="I26" s="14" t="n">
        <x:v>113.6</x:v>
      </x:c>
      <x:c r="J26" s="14" t="n">
        <x:v>0.72</x:v>
      </x:c>
      <x:c r="K26" s="14" t="n">
        <x:v>60.2</x:v>
      </x:c>
      <x:c r="L26" s="14" t="n">
        <x:v>-0.071</x:v>
      </x:c>
    </x:row>
    <x:row r="27" ht="19" customHeight="1">
      <x:c r="A27" s="13" t="n">
        <x:v>23</x:v>
      </x:c>
      <x:c r="B27" s="11" t="str">
        <x:v>SEA</x:v>
      </x:c>
      <x:c r="C27" s="14" t="n">
        <x:v>31.29</x:v>
      </x:c>
      <x:c r="D27" s="15" t="n">
        <x:v>0.557</x:v>
      </x:c>
      <x:c r="E27" s="14" t="n">
        <x:v>241.4</x:v>
      </x:c>
      <x:c r="F27" s="14" t="n">
        <x:v>1.4</x:v>
      </x:c>
      <x:c r="G27" s="14" t="n">
        <x:v>21</x:v>
      </x:c>
      <x:c r="H27" s="14" t="n">
        <x:v>26.59</x:v>
      </x:c>
      <x:c r="I27" s="14" t="n">
        <x:v>111.8</x:v>
      </x:c>
      <x:c r="J27" s="14" t="n">
        <x:v>1</x:v>
      </x:c>
      <x:c r="K27" s="14" t="n">
        <x:v>60.1</x:v>
      </x:c>
      <x:c r="L27" s="14" t="n">
        <x:v>0.079</x:v>
      </x:c>
    </x:row>
    <x:row r="28" ht="19" customHeight="1">
      <x:c r="A28" s="13" t="n">
        <x:v>24</x:v>
      </x:c>
      <x:c r="B28" s="11" t="str">
        <x:v>PIT</x:v>
      </x:c>
      <x:c r="C28" s="14" t="n">
        <x:v>31.26</x:v>
      </x:c>
      <x:c r="D28" s="15" t="n">
        <x:v>0.556</x:v>
      </x:c>
      <x:c r="E28" s="14" t="n">
        <x:v>214.1</x:v>
      </x:c>
      <x:c r="F28" s="14" t="n">
        <x:v>1.36</x:v>
      </x:c>
      <x:c r="G28" s="14" t="n">
        <x:v>18</x:v>
      </x:c>
      <x:c r="H28" s="14" t="n">
        <x:v>26.86</x:v>
      </x:c>
      <x:c r="I28" s="14" t="n">
        <x:v>113.6</x:v>
      </x:c>
      <x:c r="J28" s="14" t="n">
        <x:v>0.91</x:v>
      </x:c>
      <x:c r="K28" s="14" t="n">
        <x:v>60.3</x:v>
      </x:c>
      <x:c r="L28" s="14" t="n">
        <x:v>0.022</x:v>
      </x:c>
    </x:row>
    <x:row r="29" ht="19" customHeight="1">
      <x:c r="A29" s="13" t="n">
        <x:v>25</x:v>
      </x:c>
      <x:c r="B29" s="11" t="str">
        <x:v>MIA</x:v>
      </x:c>
      <x:c r="C29" s="14" t="n">
        <x:v>31.15</x:v>
      </x:c>
      <x:c r="D29" s="15" t="n">
        <x:v>0.561</x:v>
      </x:c>
      <x:c r="E29" s="14" t="n">
        <x:v>221.1</x:v>
      </x:c>
      <x:c r="F29" s="14" t="n">
        <x:v>1.42</x:v>
      </x:c>
      <x:c r="G29" s="14" t="n">
        <x:v>24</x:v>
      </x:c>
      <x:c r="H29" s="14" t="n">
        <x:v>26.09</x:v>
      </x:c>
      <x:c r="I29" s="14" t="n">
        <x:v>117.9</x:v>
      </x:c>
      <x:c r="J29" s="14" t="n">
        <x:v>0.91</x:v>
      </x:c>
      <x:c r="K29" s="14" t="n">
        <x:v>59.5</x:v>
      </x:c>
      <x:c r="L29" s="14" t="n">
        <x:v>0.052</x:v>
      </x:c>
    </x:row>
    <x:row r="30" ht="19" customHeight="1">
      <x:c r="A30" s="13" t="n">
        <x:v>26</x:v>
      </x:c>
      <x:c r="B30" s="11" t="str">
        <x:v>MIN</x:v>
      </x:c>
      <x:c r="C30" s="14" t="n">
        <x:v>31.13</x:v>
      </x:c>
      <x:c r="D30" s="15" t="n">
        <x:v>0.575</x:v>
      </x:c>
      <x:c r="E30" s="14" t="n">
        <x:v>223</x:v>
      </x:c>
      <x:c r="F30" s="14" t="n">
        <x:v>1.47</x:v>
      </x:c>
      <x:c r="G30" s="14" t="n">
        <x:v>27</x:v>
      </x:c>
      <x:c r="H30" s="14" t="n">
        <x:v>25.21</x:v>
      </x:c>
      <x:c r="I30" s="14" t="n">
        <x:v>108.2</x:v>
      </x:c>
      <x:c r="J30" s="14" t="n">
        <x:v>0.75</x:v>
      </x:c>
      <x:c r="K30" s="14" t="n">
        <x:v>59.4</x:v>
      </x:c>
      <x:c r="L30" s="14" t="n">
        <x:v>-0.06</x:v>
      </x:c>
    </x:row>
    <x:row r="31" ht="19" customHeight="1">
      <x:c r="A31" s="13" t="n">
        <x:v>27</x:v>
      </x:c>
      <x:c r="B31" s="11" t="str">
        <x:v>NE</x:v>
      </x:c>
      <x:c r="C31" s="14" t="n">
        <x:v>30.8</x:v>
      </x:c>
      <x:c r="D31" s="15" t="n">
        <x:v>0.551</x:v>
      </x:c>
      <x:c r="E31" s="14" t="n">
        <x:v>231.6</x:v>
      </x:c>
      <x:c r="F31" s="14" t="n">
        <x:v>1.47</x:v>
      </x:c>
      <x:c r="G31" s="14" t="n">
        <x:v>12</x:v>
      </x:c>
      <x:c r="H31" s="14" t="n">
        <x:v>27.38</x:v>
      </x:c>
      <x:c r="I31" s="14" t="n">
        <x:v>119.4</x:v>
      </x:c>
      <x:c r="J31" s="14" t="n">
        <x:v>0.98</x:v>
      </x:c>
      <x:c r="K31" s="14" t="n">
        <x:v>61</x:v>
      </x:c>
      <x:c r="L31" s="14" t="n">
        <x:v>0.096</x:v>
      </x:c>
    </x:row>
    <x:row r="32" ht="19" customHeight="1">
      <x:c r="A32" s="13" t="n">
        <x:v>28</x:v>
      </x:c>
      <x:c r="B32" s="11" t="str">
        <x:v>BUF</x:v>
      </x:c>
      <x:c r="C32" s="14" t="n">
        <x:v>30.65</x:v>
      </x:c>
      <x:c r="D32" s="15" t="n">
        <x:v>0.52</x:v>
      </x:c>
      <x:c r="E32" s="14" t="n">
        <x:v>234</x:v>
      </x:c>
      <x:c r="F32" s="14" t="n">
        <x:v>1.68</x:v>
      </x:c>
      <x:c r="G32" s="14" t="n">
        <x:v>3</x:v>
      </x:c>
      <x:c r="H32" s="14" t="n">
        <x:v>30.07</x:v>
      </x:c>
      <x:c r="I32" s="14" t="n">
        <x:v>140.7</x:v>
      </x:c>
      <x:c r="J32" s="14" t="n">
        <x:v>1.57</x:v>
      </x:c>
      <x:c r="K32" s="14" t="n">
        <x:v>62.6</x:v>
      </x:c>
      <x:c r="L32" s="14" t="n">
        <x:v>0.173</x:v>
      </x:c>
    </x:row>
    <x:row r="33" ht="19" customHeight="1">
      <x:c r="A33" s="13" t="n">
        <x:v>29</x:v>
      </x:c>
      <x:c r="B33" s="11" t="str">
        <x:v>WAS</x:v>
      </x:c>
      <x:c r="C33" s="14" t="n">
        <x:v>30.45</x:v>
      </x:c>
      <x:c r="D33" s="15" t="n">
        <x:v>0.542</x:v>
      </x:c>
      <x:c r="E33" s="14" t="n">
        <x:v>216.1</x:v>
      </x:c>
      <x:c r="F33" s="14" t="n">
        <x:v>1.37</x:v>
      </x:c>
      <x:c r="G33" s="14" t="n">
        <x:v>8</x:v>
      </x:c>
      <x:c r="H33" s="14" t="n">
        <x:v>27.86</x:v>
      </x:c>
      <x:c r="I33" s="14" t="n">
        <x:v>130.9</x:v>
      </x:c>
      <x:c r="J33" s="14" t="n">
        <x:v>1.16</x:v>
      </x:c>
      <x:c r="K33" s="14" t="n">
        <x:v>60.9</x:v>
      </x:c>
      <x:c r="L33" s="14" t="n">
        <x:v>0.021</x:v>
      </x:c>
    </x:row>
    <x:row r="34" ht="19" customHeight="1">
      <x:c r="A34" s="13" t="n">
        <x:v>30</x:v>
      </x:c>
      <x:c r="B34" s="11" t="str">
        <x:v>GB</x:v>
      </x:c>
      <x:c r="C34" s="14" t="n">
        <x:v>29.93</x:v>
      </x:c>
      <x:c r="D34" s="15" t="n">
        <x:v>0.525</x:v>
      </x:c>
      <x:c r="E34" s="14" t="n">
        <x:v>229.8</x:v>
      </x:c>
      <x:c r="F34" s="14" t="n">
        <x:v>1.59</x:v>
      </x:c>
      <x:c r="G34" s="14" t="n">
        <x:v>4</x:v>
      </x:c>
      <x:c r="H34" s="14" t="n">
        <x:v>28.64</x:v>
      </x:c>
      <x:c r="I34" s="14" t="n">
        <x:v>124.8</x:v>
      </x:c>
      <x:c r="J34" s="14" t="n">
        <x:v>1.05</x:v>
      </x:c>
      <x:c r="K34" s="14" t="n">
        <x:v>60.3</x:v>
      </x:c>
      <x:c r="L34" s="14" t="n">
        <x:v>0.171</x:v>
      </x:c>
    </x:row>
    <x:row r="35" ht="19" customHeight="1">
      <x:c r="A35" s="13" t="n">
        <x:v>31</x:v>
      </x:c>
      <x:c r="B35" s="11" t="str">
        <x:v>PHI</x:v>
      </x:c>
      <x:c r="C35" s="14" t="n">
        <x:v>29.57</x:v>
      </x:c>
      <x:c r="D35" s="15" t="n">
        <x:v>0.515</x:v>
      </x:c>
      <x:c r="E35" s="14" t="n">
        <x:v>213.9</x:v>
      </x:c>
      <x:c r="F35" s="14" t="n">
        <x:v>1.48</x:v>
      </x:c>
      <x:c r="G35" s="14" t="n">
        <x:v>2</x:v>
      </x:c>
      <x:c r="H35" s="14" t="n">
        <x:v>30.11</x:v>
      </x:c>
      <x:c r="I35" s="14" t="n">
        <x:v>133.3</x:v>
      </x:c>
      <x:c r="J35" s="14" t="n">
        <x:v>1.19</x:v>
      </x:c>
      <x:c r="K35" s="14" t="n">
        <x:v>62</x:v>
      </x:c>
      <x:c r="L35" s="14" t="n">
        <x:v>0.078</x:v>
      </x:c>
    </x:row>
    <x:row r="36" ht="19" customHeight="1">
      <x:c r="A36" s="13" t="n">
        <x:v>32</x:v>
      </x:c>
      <x:c r="B36" s="11" t="str">
        <x:v>BAL</x:v>
      </x:c>
      <x:c r="C36" s="14" t="n">
        <x:v>27.55</x:v>
      </x:c>
      <x:c r="D36" s="15" t="n">
        <x:v>0.497</x:v>
      </x:c>
      <x:c r="E36" s="14" t="n">
        <x:v>216.4</x:v>
      </x:c>
      <x:c r="F36" s="14" t="n">
        <x:v>1.66</x:v>
      </x:c>
      <x:c r="G36" s="14" t="n">
        <x:v>1</x:v>
      </x:c>
      <x:c r="H36" s="14" t="n">
        <x:v>30.13</x:v>
      </x:c>
      <x:c r="I36" s="14" t="n">
        <x:v>156.1</x:v>
      </x:c>
      <x:c r="J36" s="14" t="n">
        <x:v>1.26</x:v>
      </x:c>
      <x:c r="K36" s="14" t="n">
        <x:v>60</x:v>
      </x:c>
      <x:c r="L36" s="14" t="n">
        <x:v>0.112</x:v>
      </x:c>
    </x:row>
  </x:sheetData>
  <x:mergeCells>
    <x:mergeCell ref="A1:L1"/>
    <x:mergeCell ref="A2:L2"/>
  </x:mergeCells>
  <x:conditionalFormatting sqref="C5:F36">
    <x:cfRule type="colorScale" priority="1">
      <x:colorScale>
        <x:cfvo type="min"/>
        <x:cfvo type="percentile" val="50"/>
        <x:cfvo type="max"/>
        <x:color rgb="FFE67C73"/>
        <x:color rgb="FFFFF0C2"/>
        <x:color rgb="FF63BE7B"/>
      </x:colorScale>
    </x:cfRule>
  </x:conditionalFormatting>
  <x:conditionalFormatting sqref="H5:K36">
    <x:cfRule type="colorScale" priority="2">
      <x:colorScale>
        <x:cfvo type="min"/>
        <x:cfvo type="percentile" val="50"/>
        <x:cfvo type="max"/>
        <x:color rgb="FFE67C73"/>
        <x:color rgb="FFFFF0C2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e05fdae360f490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12" hidden="0" customWidth="1"/>
    <x:col min="4" max="4" width="21" hidden="0" customWidth="1"/>
    <x:col min="5" max="5" width="16" hidden="0" customWidth="1"/>
    <x:col min="6" max="6" width="12" hidden="0" customWidth="1"/>
    <x:col min="7" max="7" width="13" hidden="0" customWidth="1"/>
  </x:cols>
  <x:sheetData>
    <x:row r="1" ht="32" customHeight="1">
      <x:c r="A1" s="3" t="str">
        <x:v>WALK-FORWARD BACKTEST</x:v>
      </x:c>
    </x:row>
    <x:row r="2" ht="26" customHeight="1">
      <x:c r="A2" s="7" t="str">
        <x:v>2021–2025 seasons predicted only from earlier data | lower MAE is better; higher rank correlation is better</x:v>
      </x:c>
    </x:row>
    <x:row r="4" ht="25" customHeight="1">
      <x:c r="A4" s="11" t="str">
        <x:v>Pos</x:v>
      </x:c>
      <x:c r="B4" s="11" t="str">
        <x:v>Selected Model</x:v>
      </x:c>
      <x:c r="C4" s="11" t="str">
        <x:v>Model MAE</x:v>
      </x:c>
      <x:c r="D4" s="11" t="str">
        <x:v>Repeat Prior-Year MAE</x:v>
      </x:c>
      <x:c r="E4" s="11" t="str">
        <x:v>MAE Improvement</x:v>
      </x:c>
      <x:c r="F4" s="11" t="str">
        <x:v>Rank Corr</x:v>
      </x:c>
      <x:c r="G4" s="11" t="str">
        <x:v>Player Tests</x:v>
      </x:c>
    </x:row>
    <x:row r="5" ht="19" customHeight="1">
      <x:c r="A5" s="11" t="str">
        <x:v>QB</x:v>
      </x:c>
      <x:c r="B5" s="11" t="str">
        <x:v>Team-aware ridge</x:v>
      </x:c>
      <x:c r="C5" s="16" t="n">
        <x:v>3.555</x:v>
      </x:c>
      <x:c r="D5" s="16" t="n">
        <x:v>4.083</x:v>
      </x:c>
      <x:c r="E5" s="16" t="n">
        <x:f>D5-C5</x:f>
        <x:v>0.528</x:v>
      </x:c>
      <x:c r="F5" s="16" t="n">
        <x:v>0.686</x:v>
      </x:c>
      <x:c r="G5" s="13" t="n">
        <x:v>214</x:v>
      </x:c>
    </x:row>
    <x:row r="6" ht="19" customHeight="1">
      <x:c r="A6" s="11" t="str">
        <x:v>RB</x:v>
      </x:c>
      <x:c r="B6" s="11" t="str">
        <x:v>Player-only ridge</x:v>
      </x:c>
      <x:c r="C6" s="16" t="n">
        <x:v>2.8</x:v>
      </x:c>
      <x:c r="D6" s="16" t="n">
        <x:v>3.02</x:v>
      </x:c>
      <x:c r="E6" s="16" t="n">
        <x:f>D6-C6</x:f>
        <x:v>0.2200000000000002</x:v>
      </x:c>
      <x:c r="F6" s="16" t="n">
        <x:v>0.789</x:v>
      </x:c>
      <x:c r="G6" s="13" t="n">
        <x:v>463</x:v>
      </x:c>
    </x:row>
    <x:row r="7" ht="19" customHeight="1">
      <x:c r="A7" s="11" t="str">
        <x:v>WR</x:v>
      </x:c>
      <x:c r="B7" s="11" t="str">
        <x:v>Team-aware ridge</x:v>
      </x:c>
      <x:c r="C7" s="16" t="n">
        <x:v>2.472</x:v>
      </x:c>
      <x:c r="D7" s="16" t="n">
        <x:v>2.794</x:v>
      </x:c>
      <x:c r="E7" s="16" t="n">
        <x:f>D7-C7</x:f>
        <x:v>0.32200000000000006</x:v>
      </x:c>
      <x:c r="F7" s="16" t="n">
        <x:v>0.799</x:v>
      </x:c>
      <x:c r="G7" s="13" t="n">
        <x:v>751</x:v>
      </x:c>
    </x:row>
    <x:row r="8" ht="19" customHeight="1">
      <x:c r="A8" s="11" t="str">
        <x:v>TE</x:v>
      </x:c>
      <x:c r="B8" s="11" t="str">
        <x:v>Team-aware ridge</x:v>
      </x:c>
      <x:c r="C8" s="16" t="n">
        <x:v>1.893</x:v>
      </x:c>
      <x:c r="D8" s="16" t="n">
        <x:v>1.896</x:v>
      </x:c>
      <x:c r="E8" s="16" t="n">
        <x:f>D8-C8</x:f>
        <x:v>0.0029999999999998916</x:v>
      </x:c>
      <x:c r="F8" s="16" t="n">
        <x:v>0.758</x:v>
      </x:c>
      <x:c r="G8" s="13" t="n">
        <x:v>400</x:v>
      </x:c>
    </x:row>
  </x:sheetData>
  <x:mergeCells>
    <x:mergeCell ref="A1:G1"/>
    <x:mergeCell ref="A2:G2"/>
  </x:mergeCells>
  <x:conditionalFormatting sqref="E5:E8">
    <x:cfRule type="colorScale" priority="1">
      <x:colorScale>
        <x:cfvo type="min"/>
        <x:cfvo type="percentile" val="50"/>
        <x:cfvo type="max"/>
        <x:color rgb="FFE67C73"/>
        <x:color rgb="FFFFF0C2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8adaf6d9a2554390"/>
  <x:tableParts count="1">
    <x:tablePart xmlns:r="http://schemas.openxmlformats.org/officeDocument/2006/relationships" r:id="R63081dc0cf9048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1" hidden="0" customWidth="1"/>
    <x:col min="3" max="3" width="8" hidden="0" customWidth="1"/>
    <x:col min="4" max="4" width="7" hidden="0" customWidth="1"/>
    <x:col min="5" max="5" width="6" hidden="0" customWidth="1"/>
    <x:col min="6" max="6" width="6" hidden="0" customWidth="1"/>
    <x:col min="7" max="7" width="7" hidden="0" customWidth="1"/>
    <x:col min="8" max="8" width="7" hidden="0" customWidth="1"/>
    <x:col min="9" max="9" width="2" hidden="0" customWidth="1"/>
    <x:col min="10" max="10" width="7" hidden="0" customWidth="1"/>
    <x:col min="11" max="11" width="21" hidden="0" customWidth="1"/>
    <x:col min="12" max="12" width="8" hidden="0" customWidth="1"/>
    <x:col min="13" max="13" width="7" hidden="0" customWidth="1"/>
    <x:col min="14" max="14" width="6" hidden="0" customWidth="1"/>
    <x:col min="15" max="15" width="6" hidden="0" customWidth="1"/>
    <x:col min="16" max="16" width="7" hidden="0" customWidth="1"/>
    <x:col min="17" max="17" width="7" hidden="0" customWidth="1"/>
  </x:cols>
  <x:sheetData>
    <x:row r="1">
      <x:c r="A1" s="18" t="str">
        <x:v>2026 DRAFT BOARD - PPR - PAGE 1</x:v>
      </x:c>
    </x:row>
    <x:row r="2">
      <x:c r="A2" s="21" t="str">
        <x:v>ADP</x:v>
      </x:c>
      <x:c r="B2" s="21" t="str">
        <x:v>Player</x:v>
      </x:c>
      <x:c r="C2" s="21" t="str">
        <x:v>ADP Pos</x:v>
      </x:c>
      <x:c r="D2" s="21" t="str">
        <x:v>Team</x:v>
      </x:c>
      <x:c r="E2" s="21" t="str">
        <x:v>Dec</x:v>
      </x:c>
      <x:c r="F2" s="21" t="str">
        <x:v>Ind</x:v>
      </x:c>
      <x:c r="G2" s="21" t="str">
        <x:v>Gap</x:v>
      </x:c>
      <x:c r="H2" s="21" t="str">
        <x:v>Pick</x:v>
      </x:c>
      <x:c r="J2" s="21" t="str">
        <x:v>ADP</x:v>
      </x:c>
      <x:c r="K2" s="21" t="str">
        <x:v>Player</x:v>
      </x:c>
      <x:c r="L2" s="21" t="str">
        <x:v>ADP Pos</x:v>
      </x:c>
      <x:c r="M2" s="21" t="str">
        <x:v>Team</x:v>
      </x:c>
      <x:c r="N2" s="21" t="str">
        <x:v>Dec</x:v>
      </x:c>
      <x:c r="O2" s="21" t="str">
        <x:v>Ind</x:v>
      </x:c>
      <x:c r="P2" s="21" t="str">
        <x:v>Gap</x:v>
      </x:c>
      <x:c r="Q2" s="21" t="str">
        <x:v>Pick</x:v>
      </x:c>
    </x:row>
    <x:row r="3" ht="18" customHeight="1">
      <x:c r="A3" s="32" t="n">
        <x:v>1.1</x:v>
      </x:c>
      <x:c r="B3" s="24" t="str">
        <x:v>Jahmyr Gibbs</x:v>
      </x:c>
      <x:c r="C3" s="24" t="str">
        <x:v>RB 1</x:v>
      </x:c>
      <x:c r="D3" s="24" t="str">
        <x:v>DET</x:v>
      </x:c>
      <x:c r="E3" s="24" t="n">
        <x:v>3</x:v>
      </x:c>
      <x:c r="F3" s="24" t="n">
        <x:v>5</x:v>
      </x:c>
      <x:c r="G3" s="24" t="n">
        <x:v>-1.9</x:v>
      </x:c>
      <x:c r="H3" s="25"/>
      <x:c r="J3" s="32" t="n">
        <x:v>41.1</x:v>
      </x:c>
      <x:c r="K3" s="24" t="str">
        <x:v>Zay Flowers</x:v>
      </x:c>
      <x:c r="L3" s="24" t="str">
        <x:v>WR 19</x:v>
      </x:c>
      <x:c r="M3" s="24" t="str">
        <x:v>BAL</x:v>
      </x:c>
      <x:c r="N3" s="24" t="n">
        <x:v>21</x:v>
      </x:c>
      <x:c r="O3" s="24" t="n">
        <x:v>18</x:v>
      </x:c>
      <x:c r="P3" s="24" t="n">
        <x:v>20.1</x:v>
      </x:c>
      <x:c r="Q3" s="25"/>
    </x:row>
    <x:row r="4" ht="18" customHeight="1">
      <x:c r="A4" s="33" t="n">
        <x:v>2.6</x:v>
      </x:c>
      <x:c r="B4" s="27" t="str">
        <x:v>Bijan Robinson</x:v>
      </x:c>
      <x:c r="C4" s="27" t="str">
        <x:v>RB 2</x:v>
      </x:c>
      <x:c r="D4" s="27" t="str">
        <x:v>ATL</x:v>
      </x:c>
      <x:c r="E4" s="27" t="n">
        <x:v>1</x:v>
      </x:c>
      <x:c r="F4" s="27" t="n">
        <x:v>3</x:v>
      </x:c>
      <x:c r="G4" s="27" t="n">
        <x:v>1.6</x:v>
      </x:c>
      <x:c r="H4" s="28"/>
      <x:c r="J4" s="33" t="n">
        <x:v>41.3</x:v>
      </x:c>
      <x:c r="K4" s="27" t="str">
        <x:v>Colston Loveland</x:v>
      </x:c>
      <x:c r="L4" s="27" t="str">
        <x:v>TE 3</x:v>
      </x:c>
      <x:c r="M4" s="27" t="str">
        <x:v>CHI</x:v>
      </x:c>
      <x:c r="N4" s="27" t="n">
        <x:v>29</x:v>
      </x:c>
      <x:c r="O4" s="27" t="n">
        <x:v>69</x:v>
      </x:c>
      <x:c r="P4" s="27" t="n">
        <x:v>12.3</x:v>
      </x:c>
      <x:c r="Q4" s="28"/>
    </x:row>
    <x:row r="5" ht="18" customHeight="1">
      <x:c r="A5" s="33" t="n">
        <x:v>3.8</x:v>
      </x:c>
      <x:c r="B5" s="27" t="str">
        <x:v>Ja'Marr Chase</x:v>
      </x:c>
      <x:c r="C5" s="27" t="str">
        <x:v>WR 1</x:v>
      </x:c>
      <x:c r="D5" s="27" t="str">
        <x:v>CIN</x:v>
      </x:c>
      <x:c r="E5" s="27" t="n">
        <x:v>5</x:v>
      </x:c>
      <x:c r="F5" s="27" t="n">
        <x:v>4</x:v>
      </x:c>
      <x:c r="G5" s="27" t="n">
        <x:v>-1.2</x:v>
      </x:c>
      <x:c r="H5" s="28"/>
      <x:c r="J5" s="33" t="n">
        <x:v>43.7</x:v>
      </x:c>
      <x:c r="K5" s="27" t="str">
        <x:v>Cam Skattebo</x:v>
      </x:c>
      <x:c r="L5" s="27" t="str">
        <x:v>RB 19</x:v>
      </x:c>
      <x:c r="M5" s="27" t="str">
        <x:v>NYG</x:v>
      </x:c>
      <x:c r="N5" s="27" t="n">
        <x:v>53</x:v>
      </x:c>
      <x:c r="O5" s="27" t="n">
        <x:v>62</x:v>
      </x:c>
      <x:c r="P5" s="27" t="n">
        <x:v>-9.3</x:v>
      </x:c>
      <x:c r="Q5" s="28"/>
    </x:row>
    <x:row r="6" ht="18" customHeight="1">
      <x:c r="A6" s="33" t="n">
        <x:v>4.4</x:v>
      </x:c>
      <x:c r="B6" s="27" t="str">
        <x:v>Puka Nacua</x:v>
      </x:c>
      <x:c r="C6" s="27" t="str">
        <x:v>WR 2</x:v>
      </x:c>
      <x:c r="D6" s="27" t="str">
        <x:v>LAR</x:v>
      </x:c>
      <x:c r="E6" s="27" t="n">
        <x:v>2</x:v>
      </x:c>
      <x:c r="F6" s="27" t="n">
        <x:v>1</x:v>
      </x:c>
      <x:c r="G6" s="27" t="n">
        <x:v>2.4</x:v>
      </x:c>
      <x:c r="H6" s="28"/>
      <x:c r="J6" s="33" t="n">
        <x:v>44.7</x:v>
      </x:c>
      <x:c r="K6" s="27" t="str">
        <x:v>Travis Etienne</x:v>
      </x:c>
      <x:c r="L6" s="27" t="str">
        <x:v>RB 20</x:v>
      </x:c>
      <x:c r="M6" s="27" t="str">
        <x:v>NO</x:v>
      </x:c>
      <x:c r="N6" s="27" t="n">
        <x:v>41</x:v>
      </x:c>
      <x:c r="O6" s="27" t="n">
        <x:v>43</x:v>
      </x:c>
      <x:c r="P6" s="27" t="n">
        <x:v>3.7</x:v>
      </x:c>
      <x:c r="Q6" s="28"/>
    </x:row>
    <x:row r="7" ht="18" customHeight="1">
      <x:c r="A7" s="33" t="n">
        <x:v>5.5</x:v>
      </x:c>
      <x:c r="B7" s="27" t="str">
        <x:v>Christian McCaffrey</x:v>
      </x:c>
      <x:c r="C7" s="27" t="str">
        <x:v>RB 3</x:v>
      </x:c>
      <x:c r="D7" s="27" t="str">
        <x:v>SF</x:v>
      </x:c>
      <x:c r="E7" s="27" t="n">
        <x:v>6</x:v>
      </x:c>
      <x:c r="F7" s="27" t="n">
        <x:v>6</x:v>
      </x:c>
      <x:c r="G7" s="27" t="n">
        <x:v>-0.5</x:v>
      </x:c>
      <x:c r="H7" s="28"/>
      <x:c r="J7" s="33" t="n">
        <x:v>45.8</x:v>
      </x:c>
      <x:c r="K7" s="27" t="str">
        <x:v>Garrett Wilson</x:v>
      </x:c>
      <x:c r="L7" s="27" t="str">
        <x:v>WR 20</x:v>
      </x:c>
      <x:c r="M7" s="27" t="str">
        <x:v>NYJ</x:v>
      </x:c>
      <x:c r="N7" s="27" t="n">
        <x:v>49</x:v>
      </x:c>
      <x:c r="O7" s="27" t="n">
        <x:v>59</x:v>
      </x:c>
      <x:c r="P7" s="27" t="n">
        <x:v>-3.2</x:v>
      </x:c>
      <x:c r="Q7" s="28"/>
    </x:row>
    <x:row r="8" ht="18" customHeight="1">
      <x:c r="A8" s="33" t="n">
        <x:v>6.1</x:v>
      </x:c>
      <x:c r="B8" s="27" t="str">
        <x:v>Jaxon Smith-Njigba</x:v>
      </x:c>
      <x:c r="C8" s="27" t="str">
        <x:v>WR 3</x:v>
      </x:c>
      <x:c r="D8" s="27" t="str">
        <x:v>SEA</x:v>
      </x:c>
      <x:c r="E8" s="27" t="n">
        <x:v>4</x:v>
      </x:c>
      <x:c r="F8" s="27" t="n">
        <x:v>2</x:v>
      </x:c>
      <x:c r="G8" s="27" t="n">
        <x:v>2.1</x:v>
      </x:c>
      <x:c r="H8" s="28"/>
      <x:c r="J8" s="33" t="n">
        <x:v>46</x:v>
      </x:c>
      <x:c r="K8" s="27" t="str">
        <x:v>Tyler Warren</x:v>
      </x:c>
      <x:c r="L8" s="27" t="str">
        <x:v>TE 4</x:v>
      </x:c>
      <x:c r="M8" s="27" t="str">
        <x:v>IND</x:v>
      </x:c>
      <x:c r="N8" s="27" t="n">
        <x:v>44</x:v>
      </x:c>
      <x:c r="O8" s="27" t="n">
        <x:v>82</x:v>
      </x:c>
      <x:c r="P8" s="27" t="n">
        <x:v>2</x:v>
      </x:c>
      <x:c r="Q8" s="28"/>
    </x:row>
    <x:row r="9" ht="18" customHeight="1">
      <x:c r="A9" s="33" t="n">
        <x:v>6.1</x:v>
      </x:c>
      <x:c r="B9" s="27" t="str">
        <x:v>Jonathan Taylor</x:v>
      </x:c>
      <x:c r="C9" s="27" t="str">
        <x:v>RB 4</x:v>
      </x:c>
      <x:c r="D9" s="27" t="str">
        <x:v>IND</x:v>
      </x:c>
      <x:c r="E9" s="27" t="n">
        <x:v>9</x:v>
      </x:c>
      <x:c r="F9" s="27" t="n">
        <x:v>10</x:v>
      </x:c>
      <x:c r="G9" s="27" t="n">
        <x:v>-2.9</x:v>
      </x:c>
      <x:c r="H9" s="28"/>
      <x:c r="J9" s="33" t="n">
        <x:v>47.7</x:v>
      </x:c>
      <x:c r="K9" s="27" t="str">
        <x:v>Jaylen Waddle</x:v>
      </x:c>
      <x:c r="L9" s="27" t="str">
        <x:v>WR 21</x:v>
      </x:c>
      <x:c r="M9" s="27" t="str">
        <x:v>DEN</x:v>
      </x:c>
      <x:c r="N9" s="27" t="n">
        <x:v>55</x:v>
      </x:c>
      <x:c r="O9" s="27" t="n">
        <x:v>73</x:v>
      </x:c>
      <x:c r="P9" s="27" t="n">
        <x:v>-7.3</x:v>
      </x:c>
      <x:c r="Q9" s="28"/>
    </x:row>
    <x:row r="10" ht="18" customHeight="1">
      <x:c r="A10" s="33" t="n">
        <x:v>8.4</x:v>
      </x:c>
      <x:c r="B10" s="27" t="str">
        <x:v>Amon-Ra St. Brown</x:v>
      </x:c>
      <x:c r="C10" s="27" t="str">
        <x:v>WR 4</x:v>
      </x:c>
      <x:c r="D10" s="27" t="str">
        <x:v>DET</x:v>
      </x:c>
      <x:c r="E10" s="27" t="n">
        <x:v>7</x:v>
      </x:c>
      <x:c r="F10" s="27" t="n">
        <x:v>7</x:v>
      </x:c>
      <x:c r="G10" s="27" t="n">
        <x:v>1.4</x:v>
      </x:c>
      <x:c r="H10" s="28"/>
      <x:c r="J10" s="33" t="n">
        <x:v>48.1</x:v>
      </x:c>
      <x:c r="K10" s="27" t="str">
        <x:v>Drake Maye</x:v>
      </x:c>
      <x:c r="L10" s="27" t="str">
        <x:v>QB 3</x:v>
      </x:c>
      <x:c r="M10" s="27" t="str">
        <x:v>NE</x:v>
      </x:c>
      <x:c r="N10" s="27" t="n">
        <x:v>35</x:v>
      </x:c>
      <x:c r="O10" s="27" t="n">
        <x:v>29</x:v>
      </x:c>
      <x:c r="P10" s="27" t="n">
        <x:v>13.1</x:v>
      </x:c>
      <x:c r="Q10" s="28"/>
    </x:row>
    <x:row r="11" ht="18" customHeight="1">
      <x:c r="A11" s="33" t="n">
        <x:v>9.5</x:v>
      </x:c>
      <x:c r="B11" s="27" t="str">
        <x:v>CeeDee Lamb</x:v>
      </x:c>
      <x:c r="C11" s="27" t="str">
        <x:v>WR 5</x:v>
      </x:c>
      <x:c r="D11" s="27" t="str">
        <x:v>DAL</x:v>
      </x:c>
      <x:c r="E11" s="27" t="n">
        <x:v>18</x:v>
      </x:c>
      <x:c r="F11" s="27" t="n">
        <x:v>20</x:v>
      </x:c>
      <x:c r="G11" s="27" t="n">
        <x:v>-8.5</x:v>
      </x:c>
      <x:c r="H11" s="28"/>
      <x:c r="J11" s="33" t="n">
        <x:v>48.2</x:v>
      </x:c>
      <x:c r="K11" s="27" t="str">
        <x:v>Davante Adams</x:v>
      </x:c>
      <x:c r="L11" s="27" t="str">
        <x:v>WR 22</x:v>
      </x:c>
      <x:c r="M11" s="27" t="str">
        <x:v>LAR</x:v>
      </x:c>
      <x:c r="N11" s="27" t="n">
        <x:v>54</x:v>
      </x:c>
      <x:c r="O11" s="27" t="n">
        <x:v>47</x:v>
      </x:c>
      <x:c r="P11" s="27" t="n">
        <x:v>-5.8</x:v>
      </x:c>
      <x:c r="Q11" s="28"/>
    </x:row>
    <x:row r="12" ht="18" customHeight="1">
      <x:c r="A12" s="33" t="n">
        <x:v>10.5</x:v>
      </x:c>
      <x:c r="B12" s="27" t="str">
        <x:v>James Cook</x:v>
      </x:c>
      <x:c r="C12" s="27" t="str">
        <x:v>RB 5</x:v>
      </x:c>
      <x:c r="D12" s="27" t="str">
        <x:v>BUF</x:v>
      </x:c>
      <x:c r="E12" s="27" t="n">
        <x:v>12</x:v>
      </x:c>
      <x:c r="F12" s="27" t="n">
        <x:v>15</x:v>
      </x:c>
      <x:c r="G12" s="27" t="n">
        <x:v>-1.5</x:v>
      </x:c>
      <x:c r="H12" s="28"/>
      <x:c r="J12" s="33" t="n">
        <x:v>50.1</x:v>
      </x:c>
      <x:c r="K12" s="27" t="str">
        <x:v>Luther Burden</x:v>
      </x:c>
      <x:c r="L12" s="27" t="str">
        <x:v>WR 23</x:v>
      </x:c>
      <x:c r="M12" s="27" t="str">
        <x:v>CHI</x:v>
      </x:c>
      <x:c r="N12" s="27" t="n">
        <x:v>89</x:v>
      </x:c>
      <x:c r="O12" s="27" t="n">
        <x:v>147</x:v>
      </x:c>
      <x:c r="P12" s="27" t="n">
        <x:v>-38.9</x:v>
      </x:c>
      <x:c r="Q12" s="28"/>
    </x:row>
    <x:row r="13" ht="18" customHeight="1">
      <x:c r="A13" s="33" t="n">
        <x:v>11.2</x:v>
      </x:c>
      <x:c r="B13" s="27" t="str">
        <x:v>Justin Jefferson</x:v>
      </x:c>
      <x:c r="C13" s="27" t="str">
        <x:v>WR 6</x:v>
      </x:c>
      <x:c r="D13" s="27" t="str">
        <x:v>MIN</x:v>
      </x:c>
      <x:c r="E13" s="27" t="n">
        <x:v>23</x:v>
      </x:c>
      <x:c r="F13" s="27" t="n">
        <x:v>22</x:v>
      </x:c>
      <x:c r="G13" s="27" t="n">
        <x:v>-11.8</x:v>
      </x:c>
      <x:c r="H13" s="28"/>
      <x:c r="J13" s="33" t="n">
        <x:v>51.4</x:v>
      </x:c>
      <x:c r="K13" s="27" t="str">
        <x:v>David Montgomery</x:v>
      </x:c>
      <x:c r="L13" s="27" t="str">
        <x:v>RB 21</x:v>
      </x:c>
      <x:c r="M13" s="27" t="str">
        <x:v>HOU</x:v>
      </x:c>
      <x:c r="N13" s="27" t="n">
        <x:v>114</x:v>
      </x:c>
      <x:c r="O13" s="27" t="n">
        <x:v>171</x:v>
      </x:c>
      <x:c r="P13" s="27" t="n">
        <x:v>-62.6</x:v>
      </x:c>
      <x:c r="Q13" s="28"/>
    </x:row>
    <x:row r="14" ht="18" customHeight="1">
      <x:c r="A14" s="33" t="n">
        <x:v>12</x:v>
      </x:c>
      <x:c r="B14" s="27" t="str">
        <x:v>De'Von Achane</x:v>
      </x:c>
      <x:c r="C14" s="27" t="str">
        <x:v>RB 6</x:v>
      </x:c>
      <x:c r="D14" s="27" t="str">
        <x:v>MIA</x:v>
      </x:c>
      <x:c r="E14" s="27" t="n">
        <x:v>8</x:v>
      </x:c>
      <x:c r="F14" s="27" t="n">
        <x:v>9</x:v>
      </x:c>
      <x:c r="G14" s="27" t="n">
        <x:v>4</x:v>
      </x:c>
      <x:c r="H14" s="28"/>
      <x:c r="J14" s="33" t="n">
        <x:v>52.2</x:v>
      </x:c>
      <x:c r="K14" s="27" t="str">
        <x:v>TreVeyon Henderson</x:v>
      </x:c>
      <x:c r="L14" s="27" t="str">
        <x:v>RB 22</x:v>
      </x:c>
      <x:c r="M14" s="27" t="str">
        <x:v>NE</x:v>
      </x:c>
      <x:c r="N14" s="27" t="n">
        <x:v>69</x:v>
      </x:c>
      <x:c r="O14" s="27" t="n">
        <x:v>49</x:v>
      </x:c>
      <x:c r="P14" s="27" t="n">
        <x:v>-16.8</x:v>
      </x:c>
      <x:c r="Q14" s="28"/>
    </x:row>
    <x:row r="15" ht="18" customHeight="1">
      <x:c r="A15" s="33" t="n">
        <x:v>13.7</x:v>
      </x:c>
      <x:c r="B15" s="27" t="str">
        <x:v>Saquon Barkley</x:v>
      </x:c>
      <x:c r="C15" s="27" t="str">
        <x:v>RB 7</x:v>
      </x:c>
      <x:c r="D15" s="27" t="str">
        <x:v>PHI</x:v>
      </x:c>
      <x:c r="E15" s="27" t="n">
        <x:v>17</x:v>
      </x:c>
      <x:c r="F15" s="27" t="n">
        <x:v>19</x:v>
      </x:c>
      <x:c r="G15" s="27" t="n">
        <x:v>-3.3</x:v>
      </x:c>
      <x:c r="H15" s="28"/>
      <x:c r="J15" s="33" t="n">
        <x:v>53.2</x:v>
      </x:c>
      <x:c r="K15" s="27" t="str">
        <x:v>Quinshon Judkins</x:v>
      </x:c>
      <x:c r="L15" s="27" t="str">
        <x:v>RB 23</x:v>
      </x:c>
      <x:c r="M15" s="27" t="str">
        <x:v>CLE</x:v>
      </x:c>
      <x:c r="N15" s="27" t="n">
        <x:v>51</x:v>
      </x:c>
      <x:c r="O15" s="27" t="n">
        <x:v>50</x:v>
      </x:c>
      <x:c r="P15" s="27" t="n">
        <x:v>2.2</x:v>
      </x:c>
      <x:c r="Q15" s="28"/>
    </x:row>
    <x:row r="16" ht="18" customHeight="1">
      <x:c r="A16" s="33" t="n">
        <x:v>13.8</x:v>
      </x:c>
      <x:c r="B16" s="27" t="str">
        <x:v>Ashton Jeanty</x:v>
      </x:c>
      <x:c r="C16" s="27" t="str">
        <x:v>RB 8</x:v>
      </x:c>
      <x:c r="D16" s="27" t="str">
        <x:v>LV</x:v>
      </x:c>
      <x:c r="E16" s="27" t="n">
        <x:v>15</x:v>
      </x:c>
      <x:c r="F16" s="27" t="n">
        <x:v>17</x:v>
      </x:c>
      <x:c r="G16" s="27" t="n">
        <x:v>-1.2</x:v>
      </x:c>
      <x:c r="H16" s="28"/>
      <x:c r="J16" s="33" t="n">
        <x:v>54</x:v>
      </x:c>
      <x:c r="K16" s="27" t="str">
        <x:v>Joe Burrow</x:v>
      </x:c>
      <x:c r="L16" s="27" t="str">
        <x:v>QB 4</x:v>
      </x:c>
      <x:c r="M16" s="27" t="str">
        <x:v>CIN</x:v>
      </x:c>
      <x:c r="N16" s="27" t="n">
        <x:v>82</x:v>
      </x:c>
      <x:c r="O16" s="27" t="n">
        <x:v>95</x:v>
      </x:c>
      <x:c r="P16" s="27" t="n">
        <x:v>-28</x:v>
      </x:c>
      <x:c r="Q16" s="28"/>
    </x:row>
    <x:row r="17" ht="18" customHeight="1">
      <x:c r="A17" s="33" t="n">
        <x:v>15.5</x:v>
      </x:c>
      <x:c r="B17" s="27" t="str">
        <x:v>Omarion Hampton</x:v>
      </x:c>
      <x:c r="C17" s="27" t="str">
        <x:v>RB 9</x:v>
      </x:c>
      <x:c r="D17" s="27" t="str">
        <x:v>LAC</x:v>
      </x:c>
      <x:c r="E17" s="27" t="n">
        <x:v>27</x:v>
      </x:c>
      <x:c r="F17" s="27" t="n">
        <x:v>36</x:v>
      </x:c>
      <x:c r="G17" s="27" t="n">
        <x:v>-11.5</x:v>
      </x:c>
      <x:c r="H17" s="28"/>
      <x:c r="J17" s="33" t="n">
        <x:v>55.1</x:v>
      </x:c>
      <x:c r="K17" s="27" t="str">
        <x:v>D'Andre Swift</x:v>
      </x:c>
      <x:c r="L17" s="27" t="str">
        <x:v>RB 24</x:v>
      </x:c>
      <x:c r="M17" s="27" t="str">
        <x:v>CHI</x:v>
      </x:c>
      <x:c r="N17" s="27" t="n">
        <x:v>39</x:v>
      </x:c>
      <x:c r="O17" s="27" t="n">
        <x:v>37</x:v>
      </x:c>
      <x:c r="P17" s="27" t="n">
        <x:v>16.1</x:v>
      </x:c>
      <x:c r="Q17" s="28"/>
    </x:row>
    <x:row r="18" ht="18" customHeight="1">
      <x:c r="A18" s="33" t="n">
        <x:v>16.1</x:v>
      </x:c>
      <x:c r="B18" s="27" t="str">
        <x:v>Drake London</x:v>
      </x:c>
      <x:c r="C18" s="27" t="str">
        <x:v>WR 7</x:v>
      </x:c>
      <x:c r="D18" s="27" t="str">
        <x:v>ATL</x:v>
      </x:c>
      <x:c r="E18" s="27" t="n">
        <x:v>14</x:v>
      </x:c>
      <x:c r="F18" s="27" t="n">
        <x:v>13</x:v>
      </x:c>
      <x:c r="G18" s="27" t="n">
        <x:v>2.1</x:v>
      </x:c>
      <x:c r="H18" s="28"/>
      <x:c r="J18" s="33" t="n">
        <x:v>55.9</x:v>
      </x:c>
      <x:c r="K18" s="27" t="str">
        <x:v>Terry McLaurin</x:v>
      </x:c>
      <x:c r="L18" s="27" t="str">
        <x:v>WR 24</x:v>
      </x:c>
      <x:c r="M18" s="27" t="str">
        <x:v>WAS</x:v>
      </x:c>
      <x:c r="N18" s="27" t="n">
        <x:v>73</x:v>
      </x:c>
      <x:c r="O18" s="27" t="n">
        <x:v>93</x:v>
      </x:c>
      <x:c r="P18" s="27" t="n">
        <x:v>-17.1</x:v>
      </x:c>
      <x:c r="Q18" s="28"/>
    </x:row>
    <x:row r="19" ht="18" customHeight="1">
      <x:c r="A19" s="33" t="n">
        <x:v>17.5</x:v>
      </x:c>
      <x:c r="B19" s="27" t="str">
        <x:v>Chase Brown</x:v>
      </x:c>
      <x:c r="C19" s="27" t="str">
        <x:v>RB 10</x:v>
      </x:c>
      <x:c r="D19" s="27" t="str">
        <x:v>CIN</x:v>
      </x:c>
      <x:c r="E19" s="27" t="n">
        <x:v>20</x:v>
      </x:c>
      <x:c r="F19" s="27" t="n">
        <x:v>24</x:v>
      </x:c>
      <x:c r="G19" s="27" t="n">
        <x:v>-2.5</x:v>
      </x:c>
      <x:c r="H19" s="28"/>
      <x:c r="J19" s="33" t="n">
        <x:v>57.3</x:v>
      </x:c>
      <x:c r="K19" s="27" t="str">
        <x:v>Jameson Williams</x:v>
      </x:c>
      <x:c r="L19" s="27" t="str">
        <x:v>WR 25</x:v>
      </x:c>
      <x:c r="M19" s="27" t="str">
        <x:v>DET</x:v>
      </x:c>
      <x:c r="N19" s="27" t="n">
        <x:v>37</x:v>
      </x:c>
      <x:c r="O19" s="27" t="n">
        <x:v>28</x:v>
      </x:c>
      <x:c r="P19" s="27" t="n">
        <x:v>20.3</x:v>
      </x:c>
      <x:c r="Q19" s="28"/>
    </x:row>
    <x:row r="20" ht="18" customHeight="1">
      <x:c r="A20" s="33" t="n">
        <x:v>18.3</x:v>
      </x:c>
      <x:c r="B20" s="27" t="str">
        <x:v>A.J. Brown</x:v>
      </x:c>
      <x:c r="C20" s="27" t="str">
        <x:v>WR 8</x:v>
      </x:c>
      <x:c r="D20" s="27" t="str">
        <x:v>NE</x:v>
      </x:c>
      <x:c r="E20" s="27" t="n">
        <x:v>25</x:v>
      </x:c>
      <x:c r="F20" s="27" t="n">
        <x:v>27</x:v>
      </x:c>
      <x:c r="G20" s="27" t="n">
        <x:v>-6.7</x:v>
      </x:c>
      <x:c r="H20" s="28"/>
      <x:c r="J20" s="33" t="n">
        <x:v>58.5</x:v>
      </x:c>
      <x:c r="K20" s="27" t="str">
        <x:v>DJ Moore</x:v>
      </x:c>
      <x:c r="L20" s="27" t="str">
        <x:v>WR 26</x:v>
      </x:c>
      <x:c r="M20" s="27" t="str">
        <x:v>BUF</x:v>
      </x:c>
      <x:c r="N20" s="27" t="n">
        <x:v>145</x:v>
      </x:c>
      <x:c r="O20" s="27" t="n">
        <x:v>186</x:v>
      </x:c>
      <x:c r="P20" s="27" t="n">
        <x:v>-86.5</x:v>
      </x:c>
      <x:c r="Q20" s="28"/>
    </x:row>
    <x:row r="21" ht="18" customHeight="1">
      <x:c r="A21" s="33" t="n">
        <x:v>19.9</x:v>
      </x:c>
      <x:c r="B21" s="27" t="str">
        <x:v>Kenneth Walker</x:v>
      </x:c>
      <x:c r="C21" s="27" t="str">
        <x:v>RB 11</x:v>
      </x:c>
      <x:c r="D21" s="27" t="str">
        <x:v>KC</x:v>
      </x:c>
      <x:c r="E21" s="27" t="n">
        <x:v>45</x:v>
      </x:c>
      <x:c r="F21" s="27" t="n">
        <x:v>66</x:v>
      </x:c>
      <x:c r="G21" s="27" t="n">
        <x:v>-25.1</x:v>
      </x:c>
      <x:c r="H21" s="28"/>
      <x:c r="J21" s="33" t="n">
        <x:v>59.5</x:v>
      </x:c>
      <x:c r="K21" s="27" t="str">
        <x:v>Mike Evans</x:v>
      </x:c>
      <x:c r="L21" s="27" t="str">
        <x:v>WR 27</x:v>
      </x:c>
      <x:c r="M21" s="27" t="str">
        <x:v>SF</x:v>
      </x:c>
      <x:c r="N21" s="27" t="n">
        <x:v>80</x:v>
      </x:c>
      <x:c r="O21" s="27" t="n">
        <x:v>123</x:v>
      </x:c>
      <x:c r="P21" s="27" t="n">
        <x:v>-20.5</x:v>
      </x:c>
      <x:c r="Q21" s="28"/>
    </x:row>
    <x:row r="22" ht="18" customHeight="1">
      <x:c r="A22" s="33" t="n">
        <x:v>20.1</x:v>
      </x:c>
      <x:c r="B22" s="27" t="str">
        <x:v>Trey McBride</x:v>
      </x:c>
      <x:c r="C22" s="27" t="str">
        <x:v>TE 1</x:v>
      </x:c>
      <x:c r="D22" s="27" t="str">
        <x:v>ARI</x:v>
      </x:c>
      <x:c r="E22" s="27" t="n">
        <x:v>10</x:v>
      </x:c>
      <x:c r="F22" s="27" t="n">
        <x:v>11</x:v>
      </x:c>
      <x:c r="G22" s="27" t="n">
        <x:v>10.1</x:v>
      </x:c>
      <x:c r="H22" s="28"/>
      <x:c r="J22" s="33" t="n">
        <x:v>60.1</x:v>
      </x:c>
      <x:c r="K22" s="27" t="str">
        <x:v>Sam LaPorta</x:v>
      </x:c>
      <x:c r="L22" s="27" t="str">
        <x:v>TE 5</x:v>
      </x:c>
      <x:c r="M22" s="27" t="str">
        <x:v>DET</x:v>
      </x:c>
      <x:c r="N22" s="27" t="n">
        <x:v>48</x:v>
      </x:c>
      <x:c r="O22" s="27" t="n">
        <x:v>79</x:v>
      </x:c>
      <x:c r="P22" s="27" t="n">
        <x:v>12.1</x:v>
      </x:c>
      <x:c r="Q22" s="28"/>
    </x:row>
    <x:row r="23" ht="18" customHeight="1">
      <x:c r="A23" s="33" t="n">
        <x:v>20.3</x:v>
      </x:c>
      <x:c r="B23" s="27" t="str">
        <x:v>Derrick Henry</x:v>
      </x:c>
      <x:c r="C23" s="27" t="str">
        <x:v>RB 12</x:v>
      </x:c>
      <x:c r="D23" s="27" t="str">
        <x:v>BAL</x:v>
      </x:c>
      <x:c r="E23" s="27" t="n">
        <x:v>30</x:v>
      </x:c>
      <x:c r="F23" s="27" t="n">
        <x:v>45</x:v>
      </x:c>
      <x:c r="G23" s="27" t="n">
        <x:v>-9.7</x:v>
      </x:c>
      <x:c r="H23" s="28"/>
      <x:c r="J23" s="33" t="n">
        <x:v>61.1</x:v>
      </x:c>
      <x:c r="K23" s="27" t="str">
        <x:v>Bhayshul Tuten</x:v>
      </x:c>
      <x:c r="L23" s="27" t="str">
        <x:v>RB 25</x:v>
      </x:c>
      <x:c r="M23" s="27" t="str">
        <x:v>JAX</x:v>
      </x:c>
      <x:c r="N23" s="27" t="n">
        <x:v>127</x:v>
      </x:c>
      <x:c r="O23" s="27" t="n">
        <x:v>181</x:v>
      </x:c>
      <x:c r="P23" s="27" t="n">
        <x:v>-65.9</x:v>
      </x:c>
      <x:c r="Q23" s="28"/>
    </x:row>
    <x:row r="24" ht="18" customHeight="1">
      <x:c r="A24" s="33" t="n">
        <x:v>22.1</x:v>
      </x:c>
      <x:c r="B24" s="27" t="str">
        <x:v>Brock Bowers</x:v>
      </x:c>
      <x:c r="C24" s="27" t="str">
        <x:v>TE 2</x:v>
      </x:c>
      <x:c r="D24" s="27" t="str">
        <x:v>LV</x:v>
      </x:c>
      <x:c r="E24" s="27" t="n">
        <x:v>11</x:v>
      </x:c>
      <x:c r="F24" s="27" t="n">
        <x:v>16</x:v>
      </x:c>
      <x:c r="G24" s="27" t="n">
        <x:v>11.1</x:v>
      </x:c>
      <x:c r="H24" s="28"/>
      <x:c r="J24" s="33" t="n">
        <x:v>62.5</x:v>
      </x:c>
      <x:c r="K24" s="27" t="str">
        <x:v>Jayden Daniels</x:v>
      </x:c>
      <x:c r="L24" s="27" t="str">
        <x:v>QB 5</x:v>
      </x:c>
      <x:c r="M24" s="27" t="str">
        <x:v>WAS</x:v>
      </x:c>
      <x:c r="N24" s="27" t="n">
        <x:v>72</x:v>
      </x:c>
      <x:c r="O24" s="27" t="n">
        <x:v>78</x:v>
      </x:c>
      <x:c r="P24" s="27" t="n">
        <x:v>-9.5</x:v>
      </x:c>
      <x:c r="Q24" s="28"/>
    </x:row>
    <x:row r="25" ht="18" customHeight="1">
      <x:c r="A25" s="33" t="n">
        <x:v>23.3</x:v>
      </x:c>
      <x:c r="B25" s="27" t="str">
        <x:v>George Pickens</x:v>
      </x:c>
      <x:c r="C25" s="27" t="str">
        <x:v>WR 9</x:v>
      </x:c>
      <x:c r="D25" s="27" t="str">
        <x:v>DAL</x:v>
      </x:c>
      <x:c r="E25" s="27" t="n">
        <x:v>13</x:v>
      </x:c>
      <x:c r="F25" s="27" t="n">
        <x:v>12</x:v>
      </x:c>
      <x:c r="G25" s="27" t="n">
        <x:v>10.3</x:v>
      </x:c>
      <x:c r="H25" s="28"/>
      <x:c r="J25" s="33" t="n">
        <x:v>62.9</x:v>
      </x:c>
      <x:c r="K25" s="27" t="str">
        <x:v>Jalen Hurts</x:v>
      </x:c>
      <x:c r="L25" s="27" t="str">
        <x:v>QB 6</x:v>
      </x:c>
      <x:c r="M25" s="27" t="str">
        <x:v>PHI</x:v>
      </x:c>
      <x:c r="N25" s="27" t="n">
        <x:v>56</x:v>
      </x:c>
      <x:c r="O25" s="27" t="n">
        <x:v>57</x:v>
      </x:c>
      <x:c r="P25" s="27" t="n">
        <x:v>6.9</x:v>
      </x:c>
      <x:c r="Q25" s="28"/>
    </x:row>
    <x:row r="26" ht="18" customHeight="1">
      <x:c r="A26" s="33" t="n">
        <x:v>24.5</x:v>
      </x:c>
      <x:c r="B26" s="27" t="str">
        <x:v>Josh Allen</x:v>
      </x:c>
      <x:c r="C26" s="27" t="str">
        <x:v>QB 1</x:v>
      </x:c>
      <x:c r="D26" s="27" t="str">
        <x:v>BUF</x:v>
      </x:c>
      <x:c r="E26" s="27" t="n">
        <x:v>24</x:v>
      </x:c>
      <x:c r="F26" s="27" t="n">
        <x:v>26</x:v>
      </x:c>
      <x:c r="G26" s="27" t="n">
        <x:v>0.5</x:v>
      </x:c>
      <x:c r="H26" s="28"/>
      <x:c r="J26" s="33" t="n">
        <x:v>64</x:v>
      </x:c>
      <x:c r="K26" s="27" t="str">
        <x:v>Carnell Tate</x:v>
      </x:c>
      <x:c r="L26" s="27" t="str">
        <x:v>WR 28</x:v>
      </x:c>
      <x:c r="M26" s="27" t="str">
        <x:v>TEN</x:v>
      </x:c>
      <x:c r="N26" s="27" t="n">
        <x:v>85</x:v>
      </x:c>
      <x:c r="O26" s="27" t="n">
        <x:v>53</x:v>
      </x:c>
      <x:c r="P26" s="27" t="n">
        <x:v>-21</x:v>
      </x:c>
      <x:c r="Q26" s="28"/>
    </x:row>
    <x:row r="27" ht="18" customHeight="1">
      <x:c r="A27" s="33" t="n">
        <x:v>25.7</x:v>
      </x:c>
      <x:c r="B27" s="27" t="str">
        <x:v>Nico Collins</x:v>
      </x:c>
      <x:c r="C27" s="27" t="str">
        <x:v>WR 10</x:v>
      </x:c>
      <x:c r="D27" s="27" t="str">
        <x:v>HOU</x:v>
      </x:c>
      <x:c r="E27" s="27" t="n">
        <x:v>22</x:v>
      </x:c>
      <x:c r="F27" s="27" t="n">
        <x:v>25</x:v>
      </x:c>
      <x:c r="G27" s="27" t="n">
        <x:v>3.7</x:v>
      </x:c>
      <x:c r="H27" s="28"/>
      <x:c r="J27" s="33" t="n">
        <x:v>65.6</x:v>
      </x:c>
      <x:c r="K27" s="27" t="str">
        <x:v>Tucker Kraft</x:v>
      </x:c>
      <x:c r="L27" s="27" t="str">
        <x:v>TE 6</x:v>
      </x:c>
      <x:c r="M27" s="27" t="str">
        <x:v>GB</x:v>
      </x:c>
      <x:c r="N27" s="27" t="n">
        <x:v>50</x:v>
      </x:c>
      <x:c r="O27" s="27" t="n">
        <x:v>52</x:v>
      </x:c>
      <x:c r="P27" s="27" t="n">
        <x:v>15.6</x:v>
      </x:c>
      <x:c r="Q27" s="28"/>
    </x:row>
    <x:row r="28" ht="18" customHeight="1">
      <x:c r="A28" s="33" t="n">
        <x:v>26.8</x:v>
      </x:c>
      <x:c r="B28" s="27" t="str">
        <x:v>Jeremiyah Love</x:v>
      </x:c>
      <x:c r="C28" s="27" t="str">
        <x:v>RB 13</x:v>
      </x:c>
      <x:c r="D28" s="27" t="str">
        <x:v>ARI</x:v>
      </x:c>
      <x:c r="E28" s="27" t="n">
        <x:v>19</x:v>
      </x:c>
      <x:c r="F28" s="27" t="n">
        <x:v>8</x:v>
      </x:c>
      <x:c r="G28" s="27" t="n">
        <x:v>7.8</x:v>
      </x:c>
      <x:c r="H28" s="28"/>
      <x:c r="J28" s="33" t="n">
        <x:v>66.1</x:v>
      </x:c>
      <x:c r="K28" s="27" t="str">
        <x:v>Rome Odunze</x:v>
      </x:c>
      <x:c r="L28" s="27" t="str">
        <x:v>WR 29</x:v>
      </x:c>
      <x:c r="M28" s="27" t="str">
        <x:v>CHI</x:v>
      </x:c>
      <x:c r="N28" s="27" t="n">
        <x:v>59</x:v>
      </x:c>
      <x:c r="O28" s="27" t="n">
        <x:v>63</x:v>
      </x:c>
      <x:c r="P28" s="27" t="n">
        <x:v>7.1</x:v>
      </x:c>
      <x:c r="Q28" s="28"/>
    </x:row>
    <x:row r="29" ht="18" customHeight="1">
      <x:c r="A29" s="33" t="n">
        <x:v>27</x:v>
      </x:c>
      <x:c r="B29" s="27" t="str">
        <x:v>Rashee Rice</x:v>
      </x:c>
      <x:c r="C29" s="27" t="str">
        <x:v>WR 11</x:v>
      </x:c>
      <x:c r="D29" s="27" t="str">
        <x:v>KC</x:v>
      </x:c>
      <x:c r="E29" s="27" t="n">
        <x:v>34</x:v>
      </x:c>
      <x:c r="F29" s="27" t="n">
        <x:v>34</x:v>
      </x:c>
      <x:c r="G29" s="27" t="n">
        <x:v>-7</x:v>
      </x:c>
      <x:c r="H29" s="28"/>
      <x:c r="J29" s="33" t="n">
        <x:v>67.1</x:v>
      </x:c>
      <x:c r="K29" s="27" t="str">
        <x:v>Harold Fannin</x:v>
      </x:c>
      <x:c r="L29" s="27" t="str">
        <x:v>TE 7</x:v>
      </x:c>
      <x:c r="M29" s="27" t="str">
        <x:v>CLE</x:v>
      </x:c>
      <x:c r="N29" s="27" t="n">
        <x:v>67</x:v>
      </x:c>
      <x:c r="O29" s="27" t="n">
        <x:v>101</x:v>
      </x:c>
      <x:c r="P29" s="27" t="n">
        <x:v>0.1</x:v>
      </x:c>
      <x:c r="Q29" s="28"/>
    </x:row>
    <x:row r="30" ht="18" customHeight="1">
      <x:c r="A30" s="33" t="n">
        <x:v>27.8</x:v>
      </x:c>
      <x:c r="B30" s="27" t="str">
        <x:v>Malik Nabers</x:v>
      </x:c>
      <x:c r="C30" s="27" t="str">
        <x:v>WR 12</x:v>
      </x:c>
      <x:c r="D30" s="27" t="str">
        <x:v>NYG</x:v>
      </x:c>
      <x:c r="E30" s="27" t="n">
        <x:v>40</x:v>
      </x:c>
      <x:c r="F30" s="27" t="n">
        <x:v>40</x:v>
      </x:c>
      <x:c r="G30" s="27" t="n">
        <x:v>-12.2</x:v>
      </x:c>
      <x:c r="H30" s="28"/>
      <x:c r="J30" s="33" t="n">
        <x:v>68.2</x:v>
      </x:c>
      <x:c r="K30" s="27" t="str">
        <x:v>Kyle Pitts</x:v>
      </x:c>
      <x:c r="L30" s="27" t="str">
        <x:v>TE 8</x:v>
      </x:c>
      <x:c r="M30" s="27" t="str">
        <x:v>ATL</x:v>
      </x:c>
      <x:c r="N30" s="27" t="n">
        <x:v>28</x:v>
      </x:c>
      <x:c r="O30" s="27" t="n">
        <x:v>21</x:v>
      </x:c>
      <x:c r="P30" s="27" t="n">
        <x:v>40.2</x:v>
      </x:c>
      <x:c r="Q30" s="28"/>
    </x:row>
    <x:row r="31" ht="18" customHeight="1">
      <x:c r="A31" s="33" t="n">
        <x:v>29.2</x:v>
      </x:c>
      <x:c r="B31" s="27" t="str">
        <x:v>Kyren Williams</x:v>
      </x:c>
      <x:c r="C31" s="27" t="str">
        <x:v>RB 14</x:v>
      </x:c>
      <x:c r="D31" s="27" t="str">
        <x:v>LAR</x:v>
      </x:c>
      <x:c r="E31" s="27" t="n">
        <x:v>32</x:v>
      </x:c>
      <x:c r="F31" s="27" t="n">
        <x:v>30</x:v>
      </x:c>
      <x:c r="G31" s="27" t="n">
        <x:v>-2.8</x:v>
      </x:c>
      <x:c r="H31" s="28"/>
      <x:c r="J31" s="33" t="n">
        <x:v>69.1</x:v>
      </x:c>
      <x:c r="K31" s="27" t="str">
        <x:v>Christian Watson</x:v>
      </x:c>
      <x:c r="L31" s="27" t="str">
        <x:v>WR 30</x:v>
      </x:c>
      <x:c r="M31" s="27" t="str">
        <x:v>GB</x:v>
      </x:c>
      <x:c r="N31" s="27" t="n">
        <x:v>65</x:v>
      </x:c>
      <x:c r="O31" s="27" t="n">
        <x:v>89</x:v>
      </x:c>
      <x:c r="P31" s="27" t="n">
        <x:v>4.1</x:v>
      </x:c>
      <x:c r="Q31" s="28"/>
    </x:row>
    <x:row r="32" ht="18" customHeight="1">
      <x:c r="A32" s="33" t="n">
        <x:v>30.3</x:v>
      </x:c>
      <x:c r="B32" s="27" t="str">
        <x:v>Chris Olave</x:v>
      </x:c>
      <x:c r="C32" s="27" t="str">
        <x:v>WR 13</x:v>
      </x:c>
      <x:c r="D32" s="27" t="str">
        <x:v>NO</x:v>
      </x:c>
      <x:c r="E32" s="27" t="n">
        <x:v>16</x:v>
      </x:c>
      <x:c r="F32" s="27" t="n">
        <x:v>14</x:v>
      </x:c>
      <x:c r="G32" s="27" t="n">
        <x:v>14.3</x:v>
      </x:c>
      <x:c r="H32" s="28"/>
      <x:c r="J32" s="33" t="n">
        <x:v>69.7</x:v>
      </x:c>
      <x:c r="K32" s="27" t="str">
        <x:v>Jadarian Price</x:v>
      </x:c>
      <x:c r="L32" s="27" t="str">
        <x:v>RB 26</x:v>
      </x:c>
      <x:c r="M32" s="27" t="str">
        <x:v>SEA</x:v>
      </x:c>
      <x:c r="N32" s="27" t="n">
        <x:v>81</x:v>
      </x:c>
      <x:c r="O32" s="27" t="n">
        <x:v>39</x:v>
      </x:c>
      <x:c r="P32" s="27" t="n">
        <x:v>-11.3</x:v>
      </x:c>
      <x:c r="Q32" s="28"/>
    </x:row>
    <x:row r="33" ht="18" customHeight="1">
      <x:c r="A33" s="33" t="n">
        <x:v>31.4</x:v>
      </x:c>
      <x:c r="B33" s="27" t="str">
        <x:v>Josh Jacobs</x:v>
      </x:c>
      <x:c r="C33" s="27" t="str">
        <x:v>RB 15</x:v>
      </x:c>
      <x:c r="D33" s="27" t="str">
        <x:v>GB</x:v>
      </x:c>
      <x:c r="E33" s="27" t="n">
        <x:v>36</x:v>
      </x:c>
      <x:c r="F33" s="27" t="n">
        <x:v>32</x:v>
      </x:c>
      <x:c r="G33" s="27" t="n">
        <x:v>-4.6</x:v>
      </x:c>
      <x:c r="H33" s="28"/>
      <x:c r="J33" s="33" t="n">
        <x:v>71.9</x:v>
      </x:c>
      <x:c r="K33" s="27" t="str">
        <x:v>Caleb Williams</x:v>
      </x:c>
      <x:c r="L33" s="27" t="str">
        <x:v>QB 7</x:v>
      </x:c>
      <x:c r="M33" s="27" t="str">
        <x:v>CHI</x:v>
      </x:c>
      <x:c r="N33" s="27" t="n">
        <x:v>47</x:v>
      </x:c>
      <x:c r="O33" s="27" t="n">
        <x:v>35</x:v>
      </x:c>
      <x:c r="P33" s="27" t="n">
        <x:v>24.9</x:v>
      </x:c>
      <x:c r="Q33" s="28"/>
    </x:row>
    <x:row r="34" ht="18" customHeight="1">
      <x:c r="A34" s="33" t="n">
        <x:v>32.5</x:v>
      </x:c>
      <x:c r="B34" s="27" t="str">
        <x:v>Breece Hall</x:v>
      </x:c>
      <x:c r="C34" s="27" t="str">
        <x:v>RB 16</x:v>
      </x:c>
      <x:c r="D34" s="27" t="str">
        <x:v>NYJ</x:v>
      </x:c>
      <x:c r="E34" s="27" t="n">
        <x:v>26</x:v>
      </x:c>
      <x:c r="F34" s="27" t="n">
        <x:v>23</x:v>
      </x:c>
      <x:c r="G34" s="27" t="n">
        <x:v>6.5</x:v>
      </x:c>
      <x:c r="H34" s="28"/>
      <x:c r="J34" s="33" t="n">
        <x:v>72.4</x:v>
      </x:c>
      <x:c r="K34" s="27" t="str">
        <x:v>Brian Thomas</x:v>
      </x:c>
      <x:c r="L34" s="27" t="str">
        <x:v>WR 31</x:v>
      </x:c>
      <x:c r="M34" s="27" t="str">
        <x:v>JAX</x:v>
      </x:c>
      <x:c r="N34" s="27" t="n">
        <x:v>60</x:v>
      </x:c>
      <x:c r="O34" s="27" t="n">
        <x:v>60</x:v>
      </x:c>
      <x:c r="P34" s="27" t="n">
        <x:v>12.4</x:v>
      </x:c>
      <x:c r="Q34" s="28"/>
    </x:row>
    <x:row r="35" ht="18" customHeight="1">
      <x:c r="A35" s="33" t="n">
        <x:v>33.5</x:v>
      </x:c>
      <x:c r="B35" s="27" t="str">
        <x:v>Lamar Jackson</x:v>
      </x:c>
      <x:c r="C35" s="27" t="str">
        <x:v>QB 2</x:v>
      </x:c>
      <x:c r="D35" s="27" t="str">
        <x:v>BAL</x:v>
      </x:c>
      <x:c r="E35" s="27" t="n">
        <x:v>66</x:v>
      </x:c>
      <x:c r="F35" s="27" t="n">
        <x:v>83</x:v>
      </x:c>
      <x:c r="G35" s="27" t="n">
        <x:v>-32.5</x:v>
      </x:c>
      <x:c r="H35" s="28"/>
      <x:c r="J35" s="33" t="n">
        <x:v>73.6</x:v>
      </x:c>
      <x:c r="K35" s="27" t="str">
        <x:v>Jaylen Warren</x:v>
      </x:c>
      <x:c r="L35" s="27" t="str">
        <x:v>RB 27</x:v>
      </x:c>
      <x:c r="M35" s="27" t="str">
        <x:v>PIT</x:v>
      </x:c>
      <x:c r="N35" s="27" t="n">
        <x:v>86</x:v>
      </x:c>
      <x:c r="O35" s="27" t="n">
        <x:v>85</x:v>
      </x:c>
      <x:c r="P35" s="27" t="n">
        <x:v>-12.4</x:v>
      </x:c>
      <x:c r="Q35" s="28"/>
    </x:row>
    <x:row r="36" ht="18" customHeight="1">
      <x:c r="A36" s="33" t="n">
        <x:v>34.2</x:v>
      </x:c>
      <x:c r="B36" s="27" t="str">
        <x:v>Tee Higgins</x:v>
      </x:c>
      <x:c r="C36" s="27" t="str">
        <x:v>WR 14</x:v>
      </x:c>
      <x:c r="D36" s="27" t="str">
        <x:v>CIN</x:v>
      </x:c>
      <x:c r="E36" s="27" t="n">
        <x:v>42</x:v>
      </x:c>
      <x:c r="F36" s="27" t="n">
        <x:v>41</x:v>
      </x:c>
      <x:c r="G36" s="27" t="n">
        <x:v>-7.8</x:v>
      </x:c>
      <x:c r="H36" s="28"/>
      <x:c r="J36" s="33" t="n">
        <x:v>74.3</x:v>
      </x:c>
      <x:c r="K36" s="27" t="str">
        <x:v>DK Metcalf</x:v>
      </x:c>
      <x:c r="L36" s="27" t="str">
        <x:v>WR 32</x:v>
      </x:c>
      <x:c r="M36" s="27" t="str">
        <x:v>PIT</x:v>
      </x:c>
      <x:c r="N36" s="27" t="n">
        <x:v>93</x:v>
      </x:c>
      <x:c r="O36" s="27" t="n">
        <x:v>91</x:v>
      </x:c>
      <x:c r="P36" s="27" t="n">
        <x:v>-18.7</x:v>
      </x:c>
      <x:c r="Q36" s="28"/>
    </x:row>
    <x:row r="37" ht="18" customHeight="1">
      <x:c r="A37" s="33" t="n">
        <x:v>34.8</x:v>
      </x:c>
      <x:c r="B37" s="27" t="str">
        <x:v>Tetairoa McMillan</x:v>
      </x:c>
      <x:c r="C37" s="27" t="str">
        <x:v>WR 15</x:v>
      </x:c>
      <x:c r="D37" s="27" t="str">
        <x:v>CAR</x:v>
      </x:c>
      <x:c r="E37" s="27" t="n">
        <x:v>38</x:v>
      </x:c>
      <x:c r="F37" s="27" t="n">
        <x:v>42</x:v>
      </x:c>
      <x:c r="G37" s="27" t="n">
        <x:v>-3.2</x:v>
      </x:c>
      <x:c r="H37" s="28"/>
      <x:c r="J37" s="33" t="n">
        <x:v>75.7</x:v>
      </x:c>
      <x:c r="K37" s="27" t="str">
        <x:v>Marvin Harrison</x:v>
      </x:c>
      <x:c r="L37" s="27" t="str">
        <x:v>WR 33</x:v>
      </x:c>
      <x:c r="M37" s="27" t="str">
        <x:v>ARI</x:v>
      </x:c>
      <x:c r="N37" s="27" t="n">
        <x:v>75</x:v>
      </x:c>
      <x:c r="O37" s="27" t="n">
        <x:v>68</x:v>
      </x:c>
      <x:c r="P37" s="27" t="n">
        <x:v>0.7</x:v>
      </x:c>
      <x:c r="Q37" s="28"/>
    </x:row>
    <x:row r="38" ht="18" customHeight="1">
      <x:c r="A38" s="33" t="n">
        <x:v>36.2</x:v>
      </x:c>
      <x:c r="B38" s="27" t="str">
        <x:v>Javonte Williams</x:v>
      </x:c>
      <x:c r="C38" s="27" t="str">
        <x:v>RB 17</x:v>
      </x:c>
      <x:c r="D38" s="27" t="str">
        <x:v>DAL</x:v>
      </x:c>
      <x:c r="E38" s="27" t="n">
        <x:v>33</x:v>
      </x:c>
      <x:c r="F38" s="27" t="n">
        <x:v>31</x:v>
      </x:c>
      <x:c r="G38" s="27" t="n">
        <x:v>3.2</x:v>
      </x:c>
      <x:c r="H38" s="28"/>
      <x:c r="J38" s="33" t="n">
        <x:v>76.1</x:v>
      </x:c>
      <x:c r="K38" s="27" t="str">
        <x:v>Chuba Hubbard</x:v>
      </x:c>
      <x:c r="L38" s="27" t="str">
        <x:v>RB 28</x:v>
      </x:c>
      <x:c r="M38" s="27" t="str">
        <x:v>CAR</x:v>
      </x:c>
      <x:c r="N38" s="27" t="n">
        <x:v>121</x:v>
      </x:c>
      <x:c r="O38" s="27" t="n">
        <x:v>131</x:v>
      </x:c>
      <x:c r="P38" s="27" t="n">
        <x:v>-44.9</x:v>
      </x:c>
      <x:c r="Q38" s="28"/>
    </x:row>
    <x:row r="39" ht="18" customHeight="1">
      <x:c r="A39" s="33" t="n">
        <x:v>37.5</x:v>
      </x:c>
      <x:c r="B39" s="27" t="str">
        <x:v>DeVonta Smith</x:v>
      </x:c>
      <x:c r="C39" s="27" t="str">
        <x:v>WR 16</x:v>
      </x:c>
      <x:c r="D39" s="27" t="str">
        <x:v>PHI</x:v>
      </x:c>
      <x:c r="E39" s="27" t="n">
        <x:v>31</x:v>
      </x:c>
      <x:c r="F39" s="27" t="n">
        <x:v>33</x:v>
      </x:c>
      <x:c r="G39" s="27" t="n">
        <x:v>6.5</x:v>
      </x:c>
      <x:c r="H39" s="28"/>
      <x:c r="J39" s="33" t="n">
        <x:v>76.7</x:v>
      </x:c>
      <x:c r="K39" s="27" t="str">
        <x:v>Parker Washington</x:v>
      </x:c>
      <x:c r="L39" s="27" t="str">
        <x:v>WR 34</x:v>
      </x:c>
      <x:c r="M39" s="27" t="str">
        <x:v>JAX</x:v>
      </x:c>
      <x:c r="N39" s="27" t="n">
        <x:v>83</x:v>
      </x:c>
      <x:c r="O39" s="27" t="n">
        <x:v>99</x:v>
      </x:c>
      <x:c r="P39" s="27" t="n">
        <x:v>-6.3</x:v>
      </x:c>
      <x:c r="Q39" s="28"/>
    </x:row>
    <x:row r="40" ht="18" customHeight="1">
      <x:c r="A40" s="33" t="n">
        <x:v>38.6</x:v>
      </x:c>
      <x:c r="B40" s="27" t="str">
        <x:v>Ladd McConkey</x:v>
      </x:c>
      <x:c r="C40" s="27" t="str">
        <x:v>WR 17</x:v>
      </x:c>
      <x:c r="D40" s="27" t="str">
        <x:v>LAC</x:v>
      </x:c>
      <x:c r="E40" s="27" t="n">
        <x:v>43</x:v>
      </x:c>
      <x:c r="F40" s="27" t="n">
        <x:v>44</x:v>
      </x:c>
      <x:c r="G40" s="27" t="n">
        <x:v>-4.4</x:v>
      </x:c>
      <x:c r="H40" s="28"/>
      <x:c r="J40" s="33" t="n">
        <x:v>78.6</x:v>
      </x:c>
      <x:c r="K40" s="27" t="str">
        <x:v>Jordyn Tyson</x:v>
      </x:c>
      <x:c r="L40" s="27" t="str">
        <x:v>WR 35</x:v>
      </x:c>
      <x:c r="M40" s="27" t="str">
        <x:v>NO</x:v>
      </x:c>
      <x:c r="N40" s="27" t="n">
        <x:v>193</x:v>
      </x:c>
      <x:c r="O40" s="27" t="n">
        <x:v>92</x:v>
      </x:c>
      <x:c r="P40" s="27" t="n">
        <x:v>-114.4</x:v>
      </x:c>
      <x:c r="Q40" s="28"/>
    </x:row>
    <x:row r="41" ht="18" customHeight="1">
      <x:c r="A41" s="33" t="n">
        <x:v>39.3</x:v>
      </x:c>
      <x:c r="B41" s="27" t="str">
        <x:v>Bucky Irving</x:v>
      </x:c>
      <x:c r="C41" s="27" t="str">
        <x:v>RB 18</x:v>
      </x:c>
      <x:c r="D41" s="27" t="str">
        <x:v>TB</x:v>
      </x:c>
      <x:c r="E41" s="27" t="n">
        <x:v>52</x:v>
      </x:c>
      <x:c r="F41" s="27" t="n">
        <x:v>54</x:v>
      </x:c>
      <x:c r="G41" s="27" t="n">
        <x:v>-12.7</x:v>
      </x:c>
      <x:c r="H41" s="28"/>
      <x:c r="J41" s="33" t="n">
        <x:v>79.9</x:v>
      </x:c>
      <x:c r="K41" s="27" t="str">
        <x:v>RJ Harvey</x:v>
      </x:c>
      <x:c r="L41" s="27" t="str">
        <x:v>RB 29</x:v>
      </x:c>
      <x:c r="M41" s="27" t="str">
        <x:v>DEN</x:v>
      </x:c>
      <x:c r="N41" s="27" t="n">
        <x:v>108</x:v>
      </x:c>
      <x:c r="O41" s="27" t="n">
        <x:v>71</x:v>
      </x:c>
      <x:c r="P41" s="27" t="n">
        <x:v>-28.1</x:v>
      </x:c>
      <x:c r="Q41" s="28"/>
    </x:row>
    <x:row r="42" ht="18" customHeight="1">
      <x:c r="A42" s="34" t="n">
        <x:v>40.5</x:v>
      </x:c>
      <x:c r="B42" s="30" t="str">
        <x:v>Emeka Egbuka</x:v>
      </x:c>
      <x:c r="C42" s="30" t="str">
        <x:v>WR 18</x:v>
      </x:c>
      <x:c r="D42" s="30" t="str">
        <x:v>TB</x:v>
      </x:c>
      <x:c r="E42" s="30" t="n">
        <x:v>46</x:v>
      </x:c>
      <x:c r="F42" s="30" t="n">
        <x:v>55</x:v>
      </x:c>
      <x:c r="G42" s="30" t="n">
        <x:v>-5.5</x:v>
      </x:c>
      <x:c r="H42" s="31"/>
      <x:c r="J42" s="34" t="n">
        <x:v>80.9</x:v>
      </x:c>
      <x:c r="K42" s="30" t="str">
        <x:v>Courtland Sutton</x:v>
      </x:c>
      <x:c r="L42" s="30" t="str">
        <x:v>WR 36</x:v>
      </x:c>
      <x:c r="M42" s="30" t="str">
        <x:v>DEN</x:v>
      </x:c>
      <x:c r="N42" s="30" t="n">
        <x:v>68</x:v>
      </x:c>
      <x:c r="O42" s="30" t="n">
        <x:v>51</x:v>
      </x:c>
      <x:c r="P42" s="30" t="n">
        <x:v>12.9</x:v>
      </x:c>
      <x:c r="Q42" s="31"/>
    </x:row>
    <x:row r="45">
      <x:c r="A45" s="18" t="str">
        <x:v>2026 DRAFT BOARD - PPR - PAGE 2</x:v>
      </x:c>
    </x:row>
    <x:row r="46">
      <x:c r="A46" s="21" t="str">
        <x:v>ADP</x:v>
      </x:c>
      <x:c r="B46" s="21" t="str">
        <x:v>Player</x:v>
      </x:c>
      <x:c r="C46" s="21" t="str">
        <x:v>ADP Pos</x:v>
      </x:c>
      <x:c r="D46" s="21" t="str">
        <x:v>Team</x:v>
      </x:c>
      <x:c r="E46" s="21" t="str">
        <x:v>Dec</x:v>
      </x:c>
      <x:c r="F46" s="21" t="str">
        <x:v>Ind</x:v>
      </x:c>
      <x:c r="G46" s="21" t="str">
        <x:v>Gap</x:v>
      </x:c>
      <x:c r="H46" s="21" t="str">
        <x:v>Pick</x:v>
      </x:c>
      <x:c r="J46" s="21" t="str">
        <x:v>ADP</x:v>
      </x:c>
      <x:c r="K46" s="21" t="str">
        <x:v>Player</x:v>
      </x:c>
      <x:c r="L46" s="21" t="str">
        <x:v>ADP Pos</x:v>
      </x:c>
      <x:c r="M46" s="21" t="str">
        <x:v>Team</x:v>
      </x:c>
      <x:c r="N46" s="21" t="str">
        <x:v>Dec</x:v>
      </x:c>
      <x:c r="O46" s="21" t="str">
        <x:v>Ind</x:v>
      </x:c>
      <x:c r="P46" s="21" t="str">
        <x:v>Gap</x:v>
      </x:c>
      <x:c r="Q46" s="21" t="str">
        <x:v>Pick</x:v>
      </x:c>
    </x:row>
    <x:row r="47" ht="18" customHeight="1">
      <x:c r="A47" s="32" t="n">
        <x:v>81.7</x:v>
      </x:c>
      <x:c r="B47" s="24" t="str">
        <x:v>Dak Prescott</x:v>
      </x:c>
      <x:c r="C47" s="24" t="str">
        <x:v>QB 8</x:v>
      </x:c>
      <x:c r="D47" s="24" t="str">
        <x:v>DAL</x:v>
      </x:c>
      <x:c r="E47" s="24" t="n">
        <x:v>95</x:v>
      </x:c>
      <x:c r="F47" s="24" t="n">
        <x:v>107</x:v>
      </x:c>
      <x:c r="G47" s="24" t="n">
        <x:v>-13.3</x:v>
      </x:c>
      <x:c r="H47" s="25"/>
      <x:c r="J47" s="32" t="n">
        <x:v>129.5</x:v>
      </x:c>
      <x:c r="K47" s="24" t="str">
        <x:v>Mark Andrews</x:v>
      </x:c>
      <x:c r="L47" s="24" t="str">
        <x:v>TE 16</x:v>
      </x:c>
      <x:c r="M47" s="24" t="str">
        <x:v>BAL</x:v>
      </x:c>
      <x:c r="N47" s="24" t="n">
        <x:v>106</x:v>
      </x:c>
      <x:c r="O47" s="24" t="n">
        <x:v>144</x:v>
      </x:c>
      <x:c r="P47" s="24" t="n">
        <x:v>23.5</x:v>
      </x:c>
      <x:c r="Q47" s="25"/>
    </x:row>
    <x:row r="48" ht="18" customHeight="1">
      <x:c r="A48" s="33" t="n">
        <x:v>82.3</x:v>
      </x:c>
      <x:c r="B48" s="27" t="str">
        <x:v>Michael Wilson</x:v>
      </x:c>
      <x:c r="C48" s="27" t="str">
        <x:v>WR 37</x:v>
      </x:c>
      <x:c r="D48" s="27" t="str">
        <x:v>ARI</x:v>
      </x:c>
      <x:c r="E48" s="27" t="n">
        <x:v>92</x:v>
      </x:c>
      <x:c r="F48" s="27" t="n">
        <x:v>75</x:v>
      </x:c>
      <x:c r="G48" s="27" t="n">
        <x:v>-9.7</x:v>
      </x:c>
      <x:c r="H48" s="28"/>
      <x:c r="J48" s="33" t="n">
        <x:v>130.8</x:v>
      </x:c>
      <x:c r="K48" s="27" t="str">
        <x:v>Matthew Golden</x:v>
      </x:c>
      <x:c r="L48" s="27" t="str">
        <x:v>WR 50</x:v>
      </x:c>
      <x:c r="M48" s="27" t="str">
        <x:v>GB</x:v>
      </x:c>
      <x:c r="N48" s="27" t="n">
        <x:v>140</x:v>
      </x:c>
      <x:c r="O48" s="27" t="n">
        <x:v>175</x:v>
      </x:c>
      <x:c r="P48" s="27" t="n">
        <x:v>-9.2</x:v>
      </x:c>
      <x:c r="Q48" s="28"/>
    </x:row>
    <x:row r="49" ht="18" customHeight="1">
      <x:c r="A49" s="33" t="n">
        <x:v>83.4</x:v>
      </x:c>
      <x:c r="B49" s="27" t="str">
        <x:v>Justin Herbert</x:v>
      </x:c>
      <x:c r="C49" s="27" t="str">
        <x:v>QB 9</x:v>
      </x:c>
      <x:c r="D49" s="27" t="str">
        <x:v>LAC</x:v>
      </x:c>
      <x:c r="E49" s="27" t="n">
        <x:v>78</x:v>
      </x:c>
      <x:c r="F49" s="27" t="n">
        <x:v>72</x:v>
      </x:c>
      <x:c r="G49" s="27" t="n">
        <x:v>5.4</x:v>
      </x:c>
      <x:c r="H49" s="28"/>
      <x:c r="J49" s="33" t="n">
        <x:v>131.3</x:v>
      </x:c>
      <x:c r="K49" s="27" t="str">
        <x:v>Romeo Doubs</x:v>
      </x:c>
      <x:c r="L49" s="27" t="str">
        <x:v>WR 51</x:v>
      </x:c>
      <x:c r="M49" s="27" t="str">
        <x:v>NE</x:v>
      </x:c>
      <x:c r="N49" s="27" t="n">
        <x:v>122</x:v>
      </x:c>
      <x:c r="O49" s="27" t="n">
        <x:v>124</x:v>
      </x:c>
      <x:c r="P49" s="27" t="n">
        <x:v>9.3</x:v>
      </x:c>
      <x:c r="Q49" s="28"/>
    </x:row>
    <x:row r="50" ht="18" customHeight="1">
      <x:c r="A50" s="33" t="n">
        <x:v>83.5</x:v>
      </x:c>
      <x:c r="B50" s="27" t="str">
        <x:v>Jaxson Dart</x:v>
      </x:c>
      <x:c r="C50" s="27" t="str">
        <x:v>QB 10</x:v>
      </x:c>
      <x:c r="D50" s="27" t="str">
        <x:v>NYG</x:v>
      </x:c>
      <x:c r="E50" s="27" t="n">
        <x:v>98</x:v>
      </x:c>
      <x:c r="F50" s="27" t="n">
        <x:v>119</x:v>
      </x:c>
      <x:c r="G50" s="27" t="n">
        <x:v>-14.5</x:v>
      </x:c>
      <x:c r="H50" s="28"/>
      <x:c r="J50" s="33" t="n">
        <x:v>132.6</x:v>
      </x:c>
      <x:c r="K50" s="27" t="str">
        <x:v>Hunter Henry</x:v>
      </x:c>
      <x:c r="L50" s="27" t="str">
        <x:v>TE 17</x:v>
      </x:c>
      <x:c r="M50" s="27" t="str">
        <x:v>NE</x:v>
      </x:c>
      <x:c r="N50" s="27" t="n">
        <x:v>64</x:v>
      </x:c>
      <x:c r="O50" s="27" t="n">
        <x:v>64</x:v>
      </x:c>
      <x:c r="P50" s="27" t="n">
        <x:v>68.6</x:v>
      </x:c>
      <x:c r="Q50" s="28"/>
    </x:row>
    <x:row r="51" ht="18" customHeight="1">
      <x:c r="A51" s="33" t="n">
        <x:v>85.1</x:v>
      </x:c>
      <x:c r="B51" s="27" t="str">
        <x:v>Rhamondre Stevenson</x:v>
      </x:c>
      <x:c r="C51" s="27" t="str">
        <x:v>RB 30</x:v>
      </x:c>
      <x:c r="D51" s="27" t="str">
        <x:v>NE</x:v>
      </x:c>
      <x:c r="E51" s="27" t="n">
        <x:v>102</x:v>
      </x:c>
      <x:c r="F51" s="27" t="n">
        <x:v>105</x:v>
      </x:c>
      <x:c r="G51" s="27" t="n">
        <x:v>-16.9</x:v>
      </x:c>
      <x:c r="H51" s="28"/>
      <x:c r="J51" s="33" t="n">
        <x:v>132.8</x:v>
      </x:c>
      <x:c r="K51" s="27" t="str">
        <x:v>Jared Goff</x:v>
      </x:c>
      <x:c r="L51" s="27" t="str">
        <x:v>QB 16</x:v>
      </x:c>
      <x:c r="M51" s="27" t="str">
        <x:v>DET</x:v>
      </x:c>
      <x:c r="N51" s="27" t="n">
        <x:v>87</x:v>
      </x:c>
      <x:c r="O51" s="27" t="n">
        <x:v>74</x:v>
      </x:c>
      <x:c r="P51" s="27" t="n">
        <x:v>45.8</x:v>
      </x:c>
      <x:c r="Q51" s="28"/>
    </x:row>
    <x:row r="52" ht="18" customHeight="1">
      <x:c r="A52" s="33" t="n">
        <x:v>86</x:v>
      </x:c>
      <x:c r="B52" s="27" t="str">
        <x:v>Makai Lemon</x:v>
      </x:c>
      <x:c r="C52" s="27" t="str">
        <x:v>WR 38</x:v>
      </x:c>
      <x:c r="D52" s="27" t="str">
        <x:v>PHI</x:v>
      </x:c>
      <x:c r="E52" s="27" t="n">
        <x:v>118</x:v>
      </x:c>
      <x:c r="F52" s="27" t="n">
        <x:v>158</x:v>
      </x:c>
      <x:c r="G52" s="27" t="n">
        <x:v>-32</x:v>
      </x:c>
      <x:c r="H52" s="28"/>
      <x:c r="J52" s="33" t="n">
        <x:v>137.6</x:v>
      </x:c>
      <x:c r="K52" s="27" t="str">
        <x:v>Deebo Samuel</x:v>
      </x:c>
      <x:c r="L52" s="27" t="str">
        <x:v>WR 52</x:v>
      </x:c>
      <x:c r="M52" s="27" t="str">
        <x:v>SF</x:v>
      </x:c>
      <x:c r="N52" s="27" t="n">
        <x:v>128</x:v>
      </x:c>
      <x:c r="O52" s="27" t="n">
        <x:v>128</x:v>
      </x:c>
      <x:c r="P52" s="27" t="n">
        <x:v>9.6</x:v>
      </x:c>
      <x:c r="Q52" s="28"/>
    </x:row>
    <x:row r="53" ht="18" customHeight="1">
      <x:c r="A53" s="33" t="n">
        <x:v>87.6</x:v>
      </x:c>
      <x:c r="B53" s="27" t="str">
        <x:v>Tony Pollard</x:v>
      </x:c>
      <x:c r="C53" s="27" t="str">
        <x:v>RB 31</x:v>
      </x:c>
      <x:c r="D53" s="27" t="str">
        <x:v>TEN</x:v>
      </x:c>
      <x:c r="E53" s="27" t="n">
        <x:v>103</x:v>
      </x:c>
      <x:c r="F53" s="27" t="n">
        <x:v>96</x:v>
      </x:c>
      <x:c r="G53" s="27" t="n">
        <x:v>-15.4</x:v>
      </x:c>
      <x:c r="H53" s="28"/>
      <x:c r="J53" s="33" t="n">
        <x:v>138.6</x:v>
      </x:c>
      <x:c r="K53" s="27" t="str">
        <x:v>Khalil Shakir</x:v>
      </x:c>
      <x:c r="L53" s="27" t="str">
        <x:v>WR 53</x:v>
      </x:c>
      <x:c r="M53" s="27" t="str">
        <x:v>BUF</x:v>
      </x:c>
      <x:c r="N53" s="27" t="n">
        <x:v>107</x:v>
      </x:c>
      <x:c r="O53" s="27" t="n">
        <x:v>97</x:v>
      </x:c>
      <x:c r="P53" s="27" t="n">
        <x:v>31.6</x:v>
      </x:c>
      <x:c r="Q53" s="28"/>
    </x:row>
    <x:row r="54" ht="18" customHeight="1">
      <x:c r="A54" s="33" t="n">
        <x:v>88.5</x:v>
      </x:c>
      <x:c r="B54" s="27" t="str">
        <x:v>Rico Dowdle</x:v>
      </x:c>
      <x:c r="C54" s="27" t="str">
        <x:v>RB 32</x:v>
      </x:c>
      <x:c r="D54" s="27" t="str">
        <x:v>PIT</x:v>
      </x:c>
      <x:c r="E54" s="27" t="n">
        <x:v>111</x:v>
      </x:c>
      <x:c r="F54" s="27" t="n">
        <x:v>110</x:v>
      </x:c>
      <x:c r="G54" s="27" t="n">
        <x:v>-22.5</x:v>
      </x:c>
      <x:c r="H54" s="28"/>
      <x:c r="J54" s="33" t="n">
        <x:v>139.3</x:v>
      </x:c>
      <x:c r="K54" s="27" t="str">
        <x:v>Xavier Worthy</x:v>
      </x:c>
      <x:c r="L54" s="27" t="str">
        <x:v>WR 54</x:v>
      </x:c>
      <x:c r="M54" s="27" t="str">
        <x:v>KC</x:v>
      </x:c>
      <x:c r="N54" s="27" t="n">
        <x:v>115</x:v>
      </x:c>
      <x:c r="O54" s="27" t="n">
        <x:v>104</x:v>
      </x:c>
      <x:c r="P54" s="27" t="n">
        <x:v>24.3</x:v>
      </x:c>
      <x:c r="Q54" s="28"/>
    </x:row>
    <x:row r="55" ht="18" customHeight="1">
      <x:c r="A55" s="33" t="n">
        <x:v>90</x:v>
      </x:c>
      <x:c r="B55" s="27" t="str">
        <x:v>Dalton Kincaid</x:v>
      </x:c>
      <x:c r="C55" s="27" t="str">
        <x:v>TE 9</x:v>
      </x:c>
      <x:c r="D55" s="27" t="str">
        <x:v>BUF</x:v>
      </x:c>
      <x:c r="E55" s="27" t="n">
        <x:v>62</x:v>
      </x:c>
      <x:c r="F55" s="27" t="n">
        <x:v>65</x:v>
      </x:c>
      <x:c r="G55" s="27" t="n">
        <x:v>28</x:v>
      </x:c>
      <x:c r="H55" s="28"/>
      <x:c r="J55" s="33" t="n">
        <x:v>139.7</x:v>
      </x:c>
      <x:c r="K55" s="27" t="str">
        <x:v>Baker Mayfield</x:v>
      </x:c>
      <x:c r="L55" s="27" t="str">
        <x:v>QB 17</x:v>
      </x:c>
      <x:c r="M55" s="27" t="str">
        <x:v>TB</x:v>
      </x:c>
      <x:c r="N55" s="27" t="n">
        <x:v>100</x:v>
      </x:c>
      <x:c r="O55" s="27" t="n">
        <x:v>88</x:v>
      </x:c>
      <x:c r="P55" s="27" t="n">
        <x:v>39.7</x:v>
      </x:c>
      <x:c r="Q55" s="28"/>
    </x:row>
    <x:row r="56" ht="18" customHeight="1">
      <x:c r="A56" s="33" t="n">
        <x:v>90.3</x:v>
      </x:c>
      <x:c r="B56" s="27" t="str">
        <x:v>George Kittle</x:v>
      </x:c>
      <x:c r="C56" s="27" t="str">
        <x:v>TE 10</x:v>
      </x:c>
      <x:c r="D56" s="27" t="str">
        <x:v>SF</x:v>
      </x:c>
      <x:c r="E56" s="27" t="n">
        <x:v>63</x:v>
      </x:c>
      <x:c r="F56" s="27" t="n">
        <x:v>77</x:v>
      </x:c>
      <x:c r="G56" s="27" t="n">
        <x:v>27.3</x:v>
      </x:c>
      <x:c r="H56" s="28"/>
      <x:c r="J56" s="33" t="n">
        <x:v>141.7</x:v>
      </x:c>
      <x:c r="K56" s="27" t="str">
        <x:v>Zach Charbonnet</x:v>
      </x:c>
      <x:c r="L56" s="27" t="str">
        <x:v>RB 42</x:v>
      </x:c>
      <x:c r="M56" s="27" t="str">
        <x:v>SEA</x:v>
      </x:c>
      <x:c r="N56" s="27" t="n">
        <x:v>149</x:v>
      </x:c>
      <x:c r="O56" s="27" t="n">
        <x:v>90</x:v>
      </x:c>
      <x:c r="P56" s="27" t="n">
        <x:v>-7.3</x:v>
      </x:c>
      <x:c r="Q56" s="28"/>
    </x:row>
    <x:row r="57" ht="18" customHeight="1">
      <x:c r="A57" s="33" t="n">
        <x:v>92.6</x:v>
      </x:c>
      <x:c r="B57" s="27" t="str">
        <x:v>J.K. Dobbins</x:v>
      </x:c>
      <x:c r="C57" s="27" t="str">
        <x:v>RB 33</x:v>
      </x:c>
      <x:c r="D57" s="27" t="str">
        <x:v>DEN</x:v>
      </x:c>
      <x:c r="E57" s="27" t="n">
        <x:v>94</x:v>
      </x:c>
      <x:c r="F57" s="27" t="n">
        <x:v>81</x:v>
      </x:c>
      <x:c r="G57" s="27" t="n">
        <x:v>-1.4</x:v>
      </x:c>
      <x:c r="H57" s="28"/>
      <x:c r="J57" s="33" t="n">
        <x:v>143.4</x:v>
      </x:c>
      <x:c r="K57" s="27" t="str">
        <x:v>Jalen Coker</x:v>
      </x:c>
      <x:c r="L57" s="27" t="str">
        <x:v>WR 55</x:v>
      </x:c>
      <x:c r="M57" s="27" t="str">
        <x:v>CAR</x:v>
      </x:c>
      <x:c r="N57" s="27" t="n">
        <x:v>136</x:v>
      </x:c>
      <x:c r="O57" s="27" t="n">
        <x:v>170</x:v>
      </x:c>
      <x:c r="P57" s="27" t="n">
        <x:v>7.4</x:v>
      </x:c>
      <x:c r="Q57" s="28"/>
    </x:row>
    <x:row r="58" ht="18" customHeight="1">
      <x:c r="A58" s="33" t="n">
        <x:v>93.6</x:v>
      </x:c>
      <x:c r="B58" s="27" t="str">
        <x:v>Travis Kelce</x:v>
      </x:c>
      <x:c r="C58" s="27" t="str">
        <x:v>TE 11</x:v>
      </x:c>
      <x:c r="D58" s="27" t="str">
        <x:v>KC</x:v>
      </x:c>
      <x:c r="E58" s="27" t="n">
        <x:v>61</x:v>
      </x:c>
      <x:c r="F58" s="27" t="n">
        <x:v>70</x:v>
      </x:c>
      <x:c r="G58" s="27" t="n">
        <x:v>32.6</x:v>
      </x:c>
      <x:c r="H58" s="28"/>
      <x:c r="J58" s="33" t="n">
        <x:v>144.6</x:v>
      </x:c>
      <x:c r="K58" s="27" t="str">
        <x:v>Chris Rodriguez</x:v>
      </x:c>
      <x:c r="L58" s="27" t="str">
        <x:v>RB 43</x:v>
      </x:c>
      <x:c r="M58" s="27" t="str">
        <x:v>JAX</x:v>
      </x:c>
      <x:c r="N58" s="27" t="n">
        <x:v>176</x:v>
      </x:c>
      <x:c r="O58" s="27" t="n">
        <x:v>224</x:v>
      </x:c>
      <x:c r="P58" s="27" t="n">
        <x:v>-31.4</x:v>
      </x:c>
      <x:c r="Q58" s="28"/>
    </x:row>
    <x:row r="59" ht="18" customHeight="1">
      <x:c r="A59" s="33" t="n">
        <x:v>95.8</x:v>
      </x:c>
      <x:c r="B59" s="27" t="str">
        <x:v>Chris Godwin</x:v>
      </x:c>
      <x:c r="C59" s="27" t="str">
        <x:v>WR 39</x:v>
      </x:c>
      <x:c r="D59" s="27" t="str">
        <x:v>TB</x:v>
      </x:c>
      <x:c r="E59" s="27" t="n">
        <x:v>105</x:v>
      </x:c>
      <x:c r="F59" s="27" t="n">
        <x:v>108</x:v>
      </x:c>
      <x:c r="G59" s="27" t="n">
        <x:v>-9.2</x:v>
      </x:c>
      <x:c r="H59" s="28"/>
      <x:c r="J59" s="33" t="n">
        <x:v>145.6</x:v>
      </x:c>
      <x:c r="K59" s="27" t="str">
        <x:v>Kenyon Sadiq</x:v>
      </x:c>
      <x:c r="L59" s="27" t="str">
        <x:v>TE 18</x:v>
      </x:c>
      <x:c r="M59" s="27" t="str">
        <x:v>NYJ</x:v>
      </x:c>
      <x:c r="N59" s="27" t="n">
        <x:v>181</x:v>
      </x:c>
      <x:c r="O59" s="27" t="n">
        <x:v>168</x:v>
      </x:c>
      <x:c r="P59" s="27" t="n">
        <x:v>-35.4</x:v>
      </x:c>
      <x:c r="Q59" s="28"/>
    </x:row>
    <x:row r="60" ht="18" customHeight="1">
      <x:c r="A60" s="33" t="n">
        <x:v>96</x:v>
      </x:c>
      <x:c r="B60" s="27" t="str">
        <x:v>Kyle Monangai</x:v>
      </x:c>
      <x:c r="C60" s="27" t="str">
        <x:v>RB 34</x:v>
      </x:c>
      <x:c r="D60" s="27" t="str">
        <x:v>CHI</x:v>
      </x:c>
      <x:c r="E60" s="27" t="n">
        <x:v>126</x:v>
      </x:c>
      <x:c r="F60" s="27" t="n">
        <x:v>143</x:v>
      </x:c>
      <x:c r="G60" s="27" t="n">
        <x:v>-30</x:v>
      </x:c>
      <x:c r="H60" s="28"/>
      <x:c r="J60" s="33" t="n">
        <x:v>146.1</x:v>
      </x:c>
      <x:c r="K60" s="27" t="str">
        <x:v>Tyler Allgeier</x:v>
      </x:c>
      <x:c r="L60" s="27" t="str">
        <x:v>RB 44</x:v>
      </x:c>
      <x:c r="M60" s="27" t="str">
        <x:v>ARI</x:v>
      </x:c>
      <x:c r="N60" s="27" t="n">
        <x:v>216</x:v>
      </x:c>
      <x:c r="O60" s="27" t="n">
        <x:v>228</x:v>
      </x:c>
      <x:c r="P60" s="27" t="n">
        <x:v>-69.9</x:v>
      </x:c>
      <x:c r="Q60" s="28"/>
    </x:row>
    <x:row r="61" ht="18" customHeight="1">
      <x:c r="A61" s="33" t="n">
        <x:v>97.2</x:v>
      </x:c>
      <x:c r="B61" s="27" t="str">
        <x:v>Alec Pierce</x:v>
      </x:c>
      <x:c r="C61" s="27" t="str">
        <x:v>WR 40</x:v>
      </x:c>
      <x:c r="D61" s="27" t="str">
        <x:v>IND</x:v>
      </x:c>
      <x:c r="E61" s="27" t="n">
        <x:v>84</x:v>
      </x:c>
      <x:c r="F61" s="27" t="n">
        <x:v>76</x:v>
      </x:c>
      <x:c r="G61" s="27" t="n">
        <x:v>13.2</x:v>
      </x:c>
      <x:c r="H61" s="28"/>
      <x:c r="J61" s="33" t="n">
        <x:v>146.6</x:v>
      </x:c>
      <x:c r="K61" s="27" t="str">
        <x:v>Jordan Love</x:v>
      </x:c>
      <x:c r="L61" s="27" t="str">
        <x:v>QB 18</x:v>
      </x:c>
      <x:c r="M61" s="27" t="str">
        <x:v>GB</x:v>
      </x:c>
      <x:c r="N61" s="27" t="n">
        <x:v>123</x:v>
      </x:c>
      <x:c r="O61" s="27" t="n">
        <x:v>138</x:v>
      </x:c>
      <x:c r="P61" s="27" t="n">
        <x:v>23.6</x:v>
      </x:c>
      <x:c r="Q61" s="28"/>
    </x:row>
    <x:row r="62" ht="18" customHeight="1">
      <x:c r="A62" s="33" t="n">
        <x:v>97.5</x:v>
      </x:c>
      <x:c r="B62" s="27" t="str">
        <x:v>Trevor Lawrence</x:v>
      </x:c>
      <x:c r="C62" s="27" t="str">
        <x:v>QB 11</x:v>
      </x:c>
      <x:c r="D62" s="27" t="str">
        <x:v>JAX</x:v>
      </x:c>
      <x:c r="E62" s="27" t="n">
        <x:v>77</x:v>
      </x:c>
      <x:c r="F62" s="27" t="n">
        <x:v>80</x:v>
      </x:c>
      <x:c r="G62" s="27" t="n">
        <x:v>20.5</x:v>
      </x:c>
      <x:c r="H62" s="28"/>
      <x:c r="J62" s="33" t="n">
        <x:v>148.7</x:v>
      </x:c>
      <x:c r="K62" s="27" t="str">
        <x:v>Jayden Higgins</x:v>
      </x:c>
      <x:c r="L62" s="27" t="str">
        <x:v>WR 56</x:v>
      </x:c>
      <x:c r="M62" s="27" t="str">
        <x:v>HOU</x:v>
      </x:c>
      <x:c r="N62" s="27" t="n">
        <x:v>231</x:v>
      </x:c>
      <x:c r="O62" s="27" t="n">
        <x:v>149</x:v>
      </x:c>
      <x:c r="P62" s="27" t="n">
        <x:v>-82.3</x:v>
      </x:c>
      <x:c r="Q62" s="28"/>
    </x:row>
    <x:row r="63" ht="18" customHeight="1">
      <x:c r="A63" s="33" t="n">
        <x:v>99.6</x:v>
      </x:c>
      <x:c r="B63" s="27" t="str">
        <x:v>Matthew Stafford</x:v>
      </x:c>
      <x:c r="C63" s="27" t="str">
        <x:v>QB 12</x:v>
      </x:c>
      <x:c r="D63" s="27" t="str">
        <x:v>LAR</x:v>
      </x:c>
      <x:c r="E63" s="27" t="n">
        <x:v>74</x:v>
      </x:c>
      <x:c r="F63" s="27" t="n">
        <x:v>56</x:v>
      </x:c>
      <x:c r="G63" s="27" t="n">
        <x:v>25.6</x:v>
      </x:c>
      <x:c r="H63" s="28"/>
      <x:c r="J63" s="33" t="n">
        <x:v>150.1</x:v>
      </x:c>
      <x:c r="K63" s="27" t="str">
        <x:v>Brian Robinson</x:v>
      </x:c>
      <x:c r="L63" s="27" t="str">
        <x:v>RB 45</x:v>
      </x:c>
      <x:c r="M63" s="27" t="str">
        <x:v>ATL</x:v>
      </x:c>
      <x:c r="N63" s="27" t="n">
        <x:v>223</x:v>
      </x:c>
      <x:c r="O63" s="27" t="n">
        <x:v>232</x:v>
      </x:c>
      <x:c r="P63" s="27" t="n">
        <x:v>-72.9</x:v>
      </x:c>
      <x:c r="Q63" s="28"/>
    </x:row>
    <x:row r="64" ht="18" customHeight="1">
      <x:c r="A64" s="33" t="n">
        <x:v>100.8</x:v>
      </x:c>
      <x:c r="B64" s="27" t="str">
        <x:v>Jake Ferguson</x:v>
      </x:c>
      <x:c r="C64" s="27" t="str">
        <x:v>TE 12</x:v>
      </x:c>
      <x:c r="D64" s="27" t="str">
        <x:v>DAL</x:v>
      </x:c>
      <x:c r="E64" s="27" t="n">
        <x:v>99</x:v>
      </x:c>
      <x:c r="F64" s="27" t="n">
        <x:v>126</x:v>
      </x:c>
      <x:c r="G64" s="27" t="n">
        <x:v>1.8</x:v>
      </x:c>
      <x:c r="H64" s="28"/>
      <x:c r="J64" s="33" t="n">
        <x:v>151.4</x:v>
      </x:c>
      <x:c r="K64" s="27" t="str">
        <x:v>Brenton Strange</x:v>
      </x:c>
      <x:c r="L64" s="27" t="str">
        <x:v>TE 19</x:v>
      </x:c>
      <x:c r="M64" s="27" t="str">
        <x:v>JAX</x:v>
      </x:c>
      <x:c r="N64" s="27" t="n">
        <x:v>96</x:v>
      </x:c>
      <x:c r="O64" s="27" t="n">
        <x:v>117</x:v>
      </x:c>
      <x:c r="P64" s="27" t="n">
        <x:v>55.4</x:v>
      </x:c>
      <x:c r="Q64" s="28"/>
    </x:row>
    <x:row r="65" ht="18" customHeight="1">
      <x:c r="A65" s="33" t="n">
        <x:v>102.1</x:v>
      </x:c>
      <x:c r="B65" s="27" t="str">
        <x:v>Michael Pittman</x:v>
      </x:c>
      <x:c r="C65" s="27" t="str">
        <x:v>WR 41</x:v>
      </x:c>
      <x:c r="D65" s="27" t="str">
        <x:v>PIT</x:v>
      </x:c>
      <x:c r="E65" s="27" t="n">
        <x:v>110</x:v>
      </x:c>
      <x:c r="F65" s="27" t="n">
        <x:v>102</x:v>
      </x:c>
      <x:c r="G65" s="27" t="n">
        <x:v>-7.9</x:v>
      </x:c>
      <x:c r="H65" s="28"/>
      <x:c r="J65" s="33" t="n">
        <x:v>155.2</x:v>
      </x:c>
      <x:c r="K65" s="27" t="str">
        <x:v>De'Zhaun Stribling</x:v>
      </x:c>
      <x:c r="L65" s="27" t="str">
        <x:v>WR 57</x:v>
      </x:c>
      <x:c r="M65" s="27" t="str">
        <x:v>SF</x:v>
      </x:c>
      <x:c r="N65" s="27" t="n">
        <x:v>153</x:v>
      </x:c>
      <x:c r="O65" s="27" t="n">
        <x:v>154</x:v>
      </x:c>
      <x:c r="P65" s="27" t="n">
        <x:v>2.2</x:v>
      </x:c>
      <x:c r="Q65" s="28"/>
    </x:row>
    <x:row r="66" ht="18" customHeight="1">
      <x:c r="A66" s="33" t="n">
        <x:v>103.5</x:v>
      </x:c>
      <x:c r="B66" s="27" t="str">
        <x:v>Blake Corum</x:v>
      </x:c>
      <x:c r="C66" s="27" t="str">
        <x:v>RB 35</x:v>
      </x:c>
      <x:c r="D66" s="27" t="str">
        <x:v>LAR</x:v>
      </x:c>
      <x:c r="E66" s="27" t="n">
        <x:v>157</x:v>
      </x:c>
      <x:c r="F66" s="27" t="n">
        <x:v>182</x:v>
      </x:c>
      <x:c r="G66" s="27" t="n">
        <x:v>-53.5</x:v>
      </x:c>
      <x:c r="H66" s="28"/>
      <x:c r="J66" s="33" t="n">
        <x:v>158.2</x:v>
      </x:c>
      <x:c r="K66" s="27" t="str">
        <x:v>Rashid Shaheed</x:v>
      </x:c>
      <x:c r="L66" s="27" t="str">
        <x:v>WR 58</x:v>
      </x:c>
      <x:c r="M66" s="27" t="str">
        <x:v>SEA</x:v>
      </x:c>
      <x:c r="N66" s="27" t="n">
        <x:v>138</x:v>
      </x:c>
      <x:c r="O66" s="27" t="n">
        <x:v>130</x:v>
      </x:c>
      <x:c r="P66" s="27" t="n">
        <x:v>20.2</x:v>
      </x:c>
      <x:c r="Q66" s="28"/>
    </x:row>
    <x:row r="67" ht="18" customHeight="1">
      <x:c r="A67" s="33" t="n">
        <x:v>104.5</x:v>
      </x:c>
      <x:c r="B67" s="27" t="str">
        <x:v>Jordan Addison</x:v>
      </x:c>
      <x:c r="C67" s="27" t="str">
        <x:v>WR 42</x:v>
      </x:c>
      <x:c r="D67" s="27" t="str">
        <x:v>MIN</x:v>
      </x:c>
      <x:c r="E67" s="27" t="n">
        <x:v>76</x:v>
      </x:c>
      <x:c r="F67" s="27" t="n">
        <x:v>61</x:v>
      </x:c>
      <x:c r="G67" s="27" t="n">
        <x:v>28.5</x:v>
      </x:c>
      <x:c r="H67" s="28"/>
      <x:c r="J67" s="33" t="n">
        <x:v>159.1</x:v>
      </x:c>
      <x:c r="K67" s="27" t="str">
        <x:v>Kyler Murray</x:v>
      </x:c>
      <x:c r="L67" s="27" t="str">
        <x:v>QB 19</x:v>
      </x:c>
      <x:c r="M67" s="27" t="str">
        <x:v>MIN</x:v>
      </x:c>
      <x:c r="N67" s="27" t="n">
        <x:v>112</x:v>
      </x:c>
      <x:c r="O67" s="27" t="n">
        <x:v>136</x:v>
      </x:c>
      <x:c r="P67" s="27" t="n">
        <x:v>47.1</x:v>
      </x:c>
      <x:c r="Q67" s="28"/>
    </x:row>
    <x:row r="68" ht="18" customHeight="1">
      <x:c r="A68" s="33" t="n">
        <x:v>104.6</x:v>
      </x:c>
      <x:c r="B68" s="27" t="str">
        <x:v>Jakobi Meyers</x:v>
      </x:c>
      <x:c r="C68" s="27" t="str">
        <x:v>WR 43</x:v>
      </x:c>
      <x:c r="D68" s="27" t="str">
        <x:v>JAX</x:v>
      </x:c>
      <x:c r="E68" s="27" t="n">
        <x:v>97</x:v>
      </x:c>
      <x:c r="F68" s="27" t="n">
        <x:v>86</x:v>
      </x:c>
      <x:c r="G68" s="27" t="n">
        <x:v>7.6</x:v>
      </x:c>
      <x:c r="H68" s="28"/>
      <x:c r="J68" s="33" t="n">
        <x:v>160.2</x:v>
      </x:c>
      <x:c r="K68" s="27" t="str">
        <x:v>Alvin Kamara</x:v>
      </x:c>
      <x:c r="L68" s="27" t="str">
        <x:v>RB 46</x:v>
      </x:c>
      <x:c r="M68" s="27" t="str">
        <x:v>NO</x:v>
      </x:c>
      <x:c r="N68" s="27" t="n">
        <x:v>167</x:v>
      </x:c>
      <x:c r="O68" s="27" t="n">
        <x:v>125</x:v>
      </x:c>
      <x:c r="P68" s="27" t="n">
        <x:v>-6.8</x:v>
      </x:c>
      <x:c r="Q68" s="28"/>
    </x:row>
    <x:row r="69" ht="18" customHeight="1">
      <x:c r="A69" s="33" t="n">
        <x:v>107.2</x:v>
      </x:c>
      <x:c r="B69" s="27" t="str">
        <x:v>Patrick Mahomes</x:v>
      </x:c>
      <x:c r="C69" s="27" t="str">
        <x:v>QB 13</x:v>
      </x:c>
      <x:c r="D69" s="27" t="str">
        <x:v>KC</x:v>
      </x:c>
      <x:c r="E69" s="27" t="n">
        <x:v>71</x:v>
      </x:c>
      <x:c r="F69" s="27" t="n">
        <x:v>58</x:v>
      </x:c>
      <x:c r="G69" s="27" t="n">
        <x:v>36.2</x:v>
      </x:c>
      <x:c r="H69" s="28"/>
      <x:c r="J69" s="33" t="n">
        <x:v>160.9</x:v>
      </x:c>
      <x:c r="K69" s="27" t="str">
        <x:v>Tyrone Tracy</x:v>
      </x:c>
      <x:c r="L69" s="27" t="str">
        <x:v>RB 47</x:v>
      </x:c>
      <x:c r="M69" s="27" t="str">
        <x:v>NYG</x:v>
      </x:c>
      <x:c r="N69" s="27" t="n">
        <x:v>134</x:v>
      </x:c>
      <x:c r="O69" s="27" t="n">
        <x:v>98</x:v>
      </x:c>
      <x:c r="P69" s="27" t="n">
        <x:v>26.9</x:v>
      </x:c>
      <x:c r="Q69" s="28"/>
    </x:row>
    <x:row r="70" ht="18" customHeight="1">
      <x:c r="A70" s="33" t="n">
        <x:v>108.9</x:v>
      </x:c>
      <x:c r="B70" s="27" t="str">
        <x:v>Quentin Johnston</x:v>
      </x:c>
      <x:c r="C70" s="27" t="str">
        <x:v>WR 44</x:v>
      </x:c>
      <x:c r="D70" s="27" t="str">
        <x:v>LAC</x:v>
      </x:c>
      <x:c r="E70" s="27" t="n">
        <x:v>70</x:v>
      </x:c>
      <x:c r="F70" s="27" t="n">
        <x:v>46</x:v>
      </x:c>
      <x:c r="G70" s="27" t="n">
        <x:v>38.9</x:v>
      </x:c>
      <x:c r="H70" s="28"/>
      <x:c r="J70" s="33" t="n">
        <x:v>163.2</x:v>
      </x:c>
      <x:c r="K70" s="27" t="str">
        <x:v>Denzel Boston</x:v>
      </x:c>
      <x:c r="L70" s="27" t="str">
        <x:v>WR 59</x:v>
      </x:c>
      <x:c r="M70" s="27" t="str">
        <x:v>CLE</x:v>
      </x:c>
      <x:c r="N70" s="27" t="n">
        <x:v>158</x:v>
      </x:c>
      <x:c r="O70" s="27" t="n">
        <x:v>156</x:v>
      </x:c>
      <x:c r="P70" s="27" t="n">
        <x:v>5.2</x:v>
      </x:c>
      <x:c r="Q70" s="28"/>
    </x:row>
    <x:row r="71" ht="18" customHeight="1">
      <x:c r="A71" s="33" t="n">
        <x:v>109.6</x:v>
      </x:c>
      <x:c r="B71" s="27" t="str">
        <x:v>Josh Downs</x:v>
      </x:c>
      <x:c r="C71" s="27" t="str">
        <x:v>WR 45</x:v>
      </x:c>
      <x:c r="D71" s="27" t="str">
        <x:v>IND</x:v>
      </x:c>
      <x:c r="E71" s="27" t="n">
        <x:v>113</x:v>
      </x:c>
      <x:c r="F71" s="27" t="n">
        <x:v>111</x:v>
      </x:c>
      <x:c r="G71" s="27" t="n">
        <x:v>-3.4</x:v>
      </x:c>
      <x:c r="H71" s="28"/>
      <x:c r="J71" s="33" t="n">
        <x:v>164.9</x:v>
      </x:c>
      <x:c r="K71" s="27" t="str">
        <x:v>T.J. Hockenson</x:v>
      </x:c>
      <x:c r="L71" s="27" t="str">
        <x:v>TE 20</x:v>
      </x:c>
      <x:c r="M71" s="27" t="str">
        <x:v>MIN</x:v>
      </x:c>
      <x:c r="N71" s="27" t="n">
        <x:v>109</x:v>
      </x:c>
      <x:c r="O71" s="27" t="n">
        <x:v>134</x:v>
      </x:c>
      <x:c r="P71" s="27" t="n">
        <x:v>55.9</x:v>
      </x:c>
      <x:c r="Q71" s="28"/>
    </x:row>
    <x:row r="72" ht="18" customHeight="1">
      <x:c r="A72" s="33" t="n">
        <x:v>110.8</x:v>
      </x:c>
      <x:c r="B72" s="27" t="str">
        <x:v>Wan'Dale Robinson</x:v>
      </x:c>
      <x:c r="C72" s="27" t="str">
        <x:v>WR 46</x:v>
      </x:c>
      <x:c r="D72" s="27" t="str">
        <x:v>TEN</x:v>
      </x:c>
      <x:c r="E72" s="27" t="n">
        <x:v>57</x:v>
      </x:c>
      <x:c r="F72" s="27" t="n">
        <x:v>38</x:v>
      </x:c>
      <x:c r="G72" s="27" t="n">
        <x:v>53.8</x:v>
      </x:c>
      <x:c r="H72" s="28"/>
      <x:c r="J72" s="33" t="n">
        <x:v>166.4</x:v>
      </x:c>
      <x:c r="K72" s="27" t="str">
        <x:v>Woody Marks</x:v>
      </x:c>
      <x:c r="L72" s="27" t="str">
        <x:v>RB 48</x:v>
      </x:c>
      <x:c r="M72" s="27" t="str">
        <x:v>HOU</x:v>
      </x:c>
      <x:c r="N72" s="27" t="n">
        <x:v>163</x:v>
      </x:c>
      <x:c r="O72" s="27" t="n">
        <x:v>114</x:v>
      </x:c>
      <x:c r="P72" s="27" t="n">
        <x:v>3.4</x:v>
      </x:c>
      <x:c r="Q72" s="28"/>
    </x:row>
    <x:row r="73" ht="18" customHeight="1">
      <x:c r="A73" s="33" t="n">
        <x:v>111.4</x:v>
      </x:c>
      <x:c r="B73" s="27" t="str">
        <x:v>Kenny Gainwell</x:v>
      </x:c>
      <x:c r="C73" s="27" t="str">
        <x:v>RB 36</x:v>
      </x:c>
      <x:c r="D73" s="27" t="str">
        <x:v>TB</x:v>
      </x:c>
      <x:c r="E73" s="27" t="n">
        <x:v>124</x:v>
      </x:c>
      <x:c r="F73" s="27" t="n">
        <x:v>135</x:v>
      </x:c>
      <x:c r="G73" s="27" t="n">
        <x:v>-12.6</x:v>
      </x:c>
      <x:c r="H73" s="28"/>
      <x:c r="J73" s="33" t="n">
        <x:v>167</x:v>
      </x:c>
      <x:c r="K73" s="27" t="str">
        <x:v>Tyjae Spears</x:v>
      </x:c>
      <x:c r="L73" s="27" t="str">
        <x:v>RB 49</x:v>
      </x:c>
      <x:c r="M73" s="27" t="str">
        <x:v>TEN</x:v>
      </x:c>
      <x:c r="N73" s="27" t="n">
        <x:v>144</x:v>
      </x:c>
      <x:c r="O73" s="27" t="n">
        <x:v>141</x:v>
      </x:c>
      <x:c r="P73" s="27" t="n">
        <x:v>23</x:v>
      </x:c>
      <x:c r="Q73" s="28"/>
    </x:row>
    <x:row r="74" ht="18" customHeight="1">
      <x:c r="A74" s="33" t="n">
        <x:v>111.9</x:v>
      </x:c>
      <x:c r="B74" s="27" t="str">
        <x:v>Jacory Croskey-Merritt</x:v>
      </x:c>
      <x:c r="C74" s="27" t="str">
        <x:v>RB 37</x:v>
      </x:c>
      <x:c r="D74" s="27" t="str">
        <x:v>WAS</x:v>
      </x:c>
      <x:c r="E74" s="27" t="n">
        <x:v>152</x:v>
      </x:c>
      <x:c r="F74" s="27" t="n">
        <x:v>161</x:v>
      </x:c>
      <x:c r="G74" s="27" t="n">
        <x:v>-40.1</x:v>
      </x:c>
      <x:c r="H74" s="28"/>
      <x:c r="J74" s="33" t="n">
        <x:v>167.3</x:v>
      </x:c>
      <x:c r="K74" s="27" t="str">
        <x:v>Jonah Coleman</x:v>
      </x:c>
      <x:c r="L74" s="27" t="str">
        <x:v>RB 50</x:v>
      </x:c>
      <x:c r="M74" s="27" t="str">
        <x:v>DEN</x:v>
      </x:c>
      <x:c r="N74" s="27" t="n">
        <x:v>205</x:v>
      </x:c>
      <x:c r="O74" s="27" t="n">
        <x:v>150</x:v>
      </x:c>
      <x:c r="P74" s="27" t="n">
        <x:v>-37.7</x:v>
      </x:c>
      <x:c r="Q74" s="28"/>
    </x:row>
    <x:row r="75" ht="18" customHeight="1">
      <x:c r="A75" s="33" t="n">
        <x:v>113.7</x:v>
      </x:c>
      <x:c r="B75" s="27" t="str">
        <x:v>Isaiah Likely</x:v>
      </x:c>
      <x:c r="C75" s="27" t="str">
        <x:v>TE 13</x:v>
      </x:c>
      <x:c r="D75" s="27" t="str">
        <x:v>NYG</x:v>
      </x:c>
      <x:c r="E75" s="27" t="n">
        <x:v>147</x:v>
      </x:c>
      <x:c r="F75" s="27" t="n">
        <x:v>210</x:v>
      </x:c>
      <x:c r="G75" s="27" t="n">
        <x:v>-33.3</x:v>
      </x:c>
      <x:c r="H75" s="28"/>
      <x:c r="J75" s="33" t="n">
        <x:v>169.4</x:v>
      </x:c>
      <x:c r="K75" s="27" t="str">
        <x:v>Tyler Shough</x:v>
      </x:c>
      <x:c r="L75" s="27" t="str">
        <x:v>QB 20</x:v>
      </x:c>
      <x:c r="M75" s="27" t="str">
        <x:v>NO</x:v>
      </x:c>
      <x:c r="N75" s="27" t="n">
        <x:v>137</x:v>
      </x:c>
      <x:c r="O75" s="27" t="n">
        <x:v>169</x:v>
      </x:c>
      <x:c r="P75" s="27" t="n">
        <x:v>32.4</x:v>
      </x:c>
      <x:c r="Q75" s="28"/>
    </x:row>
    <x:row r="76" ht="18" customHeight="1">
      <x:c r="A76" s="33" t="n">
        <x:v>114.5</x:v>
      </x:c>
      <x:c r="B76" s="27" t="str">
        <x:v>Jayden Reed</x:v>
      </x:c>
      <x:c r="C76" s="27" t="str">
        <x:v>WR 47</x:v>
      </x:c>
      <x:c r="D76" s="27" t="str">
        <x:v>GB</x:v>
      </x:c>
      <x:c r="E76" s="27" t="n">
        <x:v>79</x:v>
      </x:c>
      <x:c r="F76" s="27" t="n">
        <x:v>127</x:v>
      </x:c>
      <x:c r="G76" s="27" t="n">
        <x:v>35.5</x:v>
      </x:c>
      <x:c r="H76" s="28"/>
      <x:c r="J76" s="33" t="n">
        <x:v>171.9</x:v>
      </x:c>
      <x:c r="K76" s="27" t="str">
        <x:v>Chig Okonkwo</x:v>
      </x:c>
      <x:c r="L76" s="27" t="str">
        <x:v>TE 21</x:v>
      </x:c>
      <x:c r="M76" s="27" t="str">
        <x:v>WAS</x:v>
      </x:c>
      <x:c r="N76" s="27" t="n">
        <x:v>142</x:v>
      </x:c>
      <x:c r="O76" s="27" t="n">
        <x:v>183</x:v>
      </x:c>
      <x:c r="P76" s="27" t="n">
        <x:v>29.9</x:v>
      </x:c>
      <x:c r="Q76" s="28"/>
    </x:row>
    <x:row r="77" ht="18" customHeight="1">
      <x:c r="A77" s="33" t="n">
        <x:v>115.9</x:v>
      </x:c>
      <x:c r="B77" s="27" t="str">
        <x:v>Stefon Diggs</x:v>
      </x:c>
      <x:c r="C77" s="27" t="str">
        <x:v>WR 48</x:v>
      </x:c>
      <x:c r="D77" s="27" t="str">
        <x:v>WAS</x:v>
      </x:c>
      <x:c r="E77" s="27" t="n">
        <x:v>117</x:v>
      </x:c>
      <x:c r="F77" s="27" t="n">
        <x:v>109</x:v>
      </x:c>
      <x:c r="G77" s="27" t="n">
        <x:v>-1.1</x:v>
      </x:c>
      <x:c r="H77" s="28"/>
      <x:c r="J77" s="33" t="n">
        <x:v>173.3</x:v>
      </x:c>
      <x:c r="K77" s="27" t="str">
        <x:v>Omar Cooper</x:v>
      </x:c>
      <x:c r="L77" s="27" t="str">
        <x:v>WR 60</x:v>
      </x:c>
      <x:c r="M77" s="27" t="str">
        <x:v>NYJ</x:v>
      </x:c>
      <x:c r="N77" s="27" t="n">
        <x:v>168</x:v>
      </x:c>
      <x:c r="O77" s="27" t="n">
        <x:v>145</x:v>
      </x:c>
      <x:c r="P77" s="27" t="n">
        <x:v>5.3</x:v>
      </x:c>
      <x:c r="Q77" s="28"/>
    </x:row>
    <x:row r="78" ht="18" customHeight="1">
      <x:c r="A78" s="33" t="n">
        <x:v>116.6</x:v>
      </x:c>
      <x:c r="B78" s="27" t="str">
        <x:v>Jonathon Brooks</x:v>
      </x:c>
      <x:c r="C78" s="27" t="str">
        <x:v>RB 38</x:v>
      </x:c>
      <x:c r="D78" s="27" t="str">
        <x:v>CAR</x:v>
      </x:c>
      <x:c r="E78" s="27" t="n">
        <x:v>119</x:v>
      </x:c>
      <x:c r="F78" s="27" t="n">
        <x:v>180</x:v>
      </x:c>
      <x:c r="G78" s="27" t="n">
        <x:v>-2.4</x:v>
      </x:c>
      <x:c r="H78" s="28"/>
      <x:c r="J78" s="33" t="n">
        <x:v>174.3</x:v>
      </x:c>
      <x:c r="K78" s="27" t="str">
        <x:v>Ja'Kobi Lane</x:v>
      </x:c>
      <x:c r="L78" s="27" t="str">
        <x:v>WR 61</x:v>
      </x:c>
      <x:c r="M78" s="27" t="str">
        <x:v>BAL</x:v>
      </x:c>
      <x:c r="N78" s="27" t="n">
        <x:v>194</x:v>
      </x:c>
      <x:c r="O78" s="27" t="n">
        <x:v>215</x:v>
      </x:c>
      <x:c r="P78" s="27" t="n">
        <x:v>-19.7</x:v>
      </x:c>
      <x:c r="Q78" s="28"/>
    </x:row>
    <x:row r="79" ht="18" customHeight="1">
      <x:c r="A79" s="33" t="n">
        <x:v>117.9</x:v>
      </x:c>
      <x:c r="B79" s="27" t="str">
        <x:v>Oronde Gadsden</x:v>
      </x:c>
      <x:c r="C79" s="27" t="str">
        <x:v>TE 14</x:v>
      </x:c>
      <x:c r="D79" s="27" t="str">
        <x:v>LAC</x:v>
      </x:c>
      <x:c r="E79" s="27" t="n">
        <x:v>104</x:v>
      </x:c>
      <x:c r="F79" s="27" t="n">
        <x:v>103</x:v>
      </x:c>
      <x:c r="G79" s="27" t="n">
        <x:v>13.9</x:v>
      </x:c>
      <x:c r="H79" s="28"/>
      <x:c r="J79" s="33" t="n">
        <x:v>176.1</x:v>
      </x:c>
      <x:c r="K79" s="27" t="str">
        <x:v>Tank Dell</x:v>
      </x:c>
      <x:c r="L79" s="27" t="str">
        <x:v>WR 62</x:v>
      </x:c>
      <x:c r="M79" s="27" t="str">
        <x:v>HOU</x:v>
      </x:c>
      <x:c r="N79" s="27" t="n">
        <x:v>130</x:v>
      </x:c>
      <x:c r="O79" s="27" t="n">
        <x:v>67</x:v>
      </x:c>
      <x:c r="P79" s="27" t="n">
        <x:v>46.1</x:v>
      </x:c>
      <x:c r="Q79" s="28"/>
    </x:row>
    <x:row r="80" ht="18" customHeight="1">
      <x:c r="A80" s="33" t="n">
        <x:v>118.7</x:v>
      </x:c>
      <x:c r="B80" s="27" t="str">
        <x:v>Jordan Mason</x:v>
      </x:c>
      <x:c r="C80" s="27" t="str">
        <x:v>RB 39</x:v>
      </x:c>
      <x:c r="D80" s="27" t="str">
        <x:v>MIN</x:v>
      </x:c>
      <x:c r="E80" s="27" t="n">
        <x:v>151</x:v>
      </x:c>
      <x:c r="F80" s="27" t="n">
        <x:v>191</x:v>
      </x:c>
      <x:c r="G80" s="27" t="n">
        <x:v>-32.3</x:v>
      </x:c>
      <x:c r="H80" s="28"/>
      <x:c r="J80" s="33" t="n">
        <x:v>177.5</x:v>
      </x:c>
      <x:c r="K80" s="27" t="str">
        <x:v>Sam Darnold</x:v>
      </x:c>
      <x:c r="L80" s="27" t="str">
        <x:v>QB 21</x:v>
      </x:c>
      <x:c r="M80" s="27" t="str">
        <x:v>SEA</x:v>
      </x:c>
      <x:c r="N80" s="27" t="n">
        <x:v>125</x:v>
      </x:c>
      <x:c r="O80" s="27" t="n">
        <x:v>121</x:v>
      </x:c>
      <x:c r="P80" s="27" t="n">
        <x:v>52.5</x:v>
      </x:c>
      <x:c r="Q80" s="28"/>
    </x:row>
    <x:row r="81" ht="18" customHeight="1">
      <x:c r="A81" s="33" t="n">
        <x:v>120.7</x:v>
      </x:c>
      <x:c r="B81" s="27" t="str">
        <x:v>Brock Purdy</x:v>
      </x:c>
      <x:c r="C81" s="27" t="str">
        <x:v>QB 14</x:v>
      </x:c>
      <x:c r="D81" s="27" t="str">
        <x:v>SF</x:v>
      </x:c>
      <x:c r="E81" s="27" t="n">
        <x:v>91</x:v>
      </x:c>
      <x:c r="F81" s="27" t="n">
        <x:v>116</x:v>
      </x:c>
      <x:c r="G81" s="27" t="n">
        <x:v>29.7</x:v>
      </x:c>
      <x:c r="H81" s="28"/>
      <x:c r="J81" s="33" t="n">
        <x:v>178.3</x:v>
      </x:c>
      <x:c r="K81" s="27" t="str">
        <x:v>Fernando Mendoza</x:v>
      </x:c>
      <x:c r="L81" s="27" t="str">
        <x:v>QB 22</x:v>
      </x:c>
      <x:c r="M81" s="27" t="str">
        <x:v>LV</x:v>
      </x:c>
      <x:c r="N81" s="27" t="n">
        <x:v>185</x:v>
      </x:c>
      <x:c r="O81" s="27" t="n">
        <x:v>112</x:v>
      </x:c>
      <x:c r="P81" s="27" t="n">
        <x:v>-6.7</x:v>
      </x:c>
      <x:c r="Q81" s="28"/>
    </x:row>
    <x:row r="82" ht="18" customHeight="1">
      <x:c r="A82" s="33" t="n">
        <x:v>121.1</x:v>
      </x:c>
      <x:c r="B82" s="27" t="str">
        <x:v>Bo Nix</x:v>
      </x:c>
      <x:c r="C82" s="27" t="str">
        <x:v>QB 15</x:v>
      </x:c>
      <x:c r="D82" s="27" t="str">
        <x:v>DEN</x:v>
      </x:c>
      <x:c r="E82" s="27" t="n">
        <x:v>58</x:v>
      </x:c>
      <x:c r="F82" s="27" t="n">
        <x:v>48</x:v>
      </x:c>
      <x:c r="G82" s="27" t="n">
        <x:v>63.1</x:v>
      </x:c>
      <x:c r="H82" s="28"/>
      <x:c r="J82" s="33" t="n">
        <x:v>180.4</x:v>
      </x:c>
      <x:c r="K82" s="27" t="str">
        <x:v>Keaton Mitchell</x:v>
      </x:c>
      <x:c r="L82" s="27" t="str">
        <x:v>RB 51</x:v>
      </x:c>
      <x:c r="M82" s="27" t="str">
        <x:v>LAC</x:v>
      </x:c>
      <x:c r="N82" s="27" t="n">
        <x:v>219</x:v>
      </x:c>
      <x:c r="O82" s="27" t="n">
        <x:v>234</x:v>
      </x:c>
      <x:c r="P82" s="27" t="n">
        <x:v>-38.6</x:v>
      </x:c>
      <x:c r="Q82" s="28"/>
    </x:row>
    <x:row r="83" ht="18" customHeight="1">
      <x:c r="A83" s="33" t="n">
        <x:v>123</x:v>
      </x:c>
      <x:c r="B83" s="27" t="str">
        <x:v>Aaron Jones</x:v>
      </x:c>
      <x:c r="C83" s="27" t="str">
        <x:v>RB 40</x:v>
      </x:c>
      <x:c r="D83" s="27" t="str">
        <x:v>MIN</x:v>
      </x:c>
      <x:c r="E83" s="27" t="n">
        <x:v>132</x:v>
      </x:c>
      <x:c r="F83" s="27" t="n">
        <x:v>140</x:v>
      </x:c>
      <x:c r="G83" s="27" t="n">
        <x:v>-9</x:v>
      </x:c>
      <x:c r="H83" s="28"/>
      <x:c r="J83" s="33" t="n">
        <x:v>181.2</x:v>
      </x:c>
      <x:c r="K83" s="27" t="str">
        <x:v>Tank Bigsby</x:v>
      </x:c>
      <x:c r="L83" s="27" t="str">
        <x:v>RB 52</x:v>
      </x:c>
      <x:c r="M83" s="27" t="str">
        <x:v>PHI</x:v>
      </x:c>
      <x:c r="N83" s="27" t="n">
        <x:v>213</x:v>
      </x:c>
      <x:c r="O83" s="27" t="n">
        <x:v>225</x:v>
      </x:c>
      <x:c r="P83" s="27" t="n">
        <x:v>-31.8</x:v>
      </x:c>
      <x:c r="Q83" s="28"/>
    </x:row>
    <x:row r="84" ht="18" customHeight="1">
      <x:c r="A84" s="33" t="n">
        <x:v>124.2</x:v>
      </x:c>
      <x:c r="B84" s="27" t="str">
        <x:v>Dallas Goedert</x:v>
      </x:c>
      <x:c r="C84" s="27" t="str">
        <x:v>TE 15</x:v>
      </x:c>
      <x:c r="D84" s="27" t="str">
        <x:v>PHI</x:v>
      </x:c>
      <x:c r="E84" s="27" t="n">
        <x:v>90</x:v>
      </x:c>
      <x:c r="F84" s="27" t="n">
        <x:v>87</x:v>
      </x:c>
      <x:c r="G84" s="27" t="n">
        <x:v>34.2</x:v>
      </x:c>
      <x:c r="H84" s="28"/>
      <x:c r="J84" s="33" t="n">
        <x:v>183.9</x:v>
      </x:c>
      <x:c r="K84" s="27" t="str">
        <x:v>Jalen Nailor</x:v>
      </x:c>
      <x:c r="L84" s="27" t="str">
        <x:v>WR 63</x:v>
      </x:c>
      <x:c r="M84" s="27" t="str">
        <x:v>LV</x:v>
      </x:c>
      <x:c r="N84" s="27" t="n">
        <x:v>197</x:v>
      </x:c>
      <x:c r="O84" s="27" t="n">
        <x:v>230</x:v>
      </x:c>
      <x:c r="P84" s="27" t="n">
        <x:v>-13.1</x:v>
      </x:c>
      <x:c r="Q84" s="28"/>
    </x:row>
    <x:row r="85" ht="18" customHeight="1">
      <x:c r="A85" s="33" t="n">
        <x:v>125.1</x:v>
      </x:c>
      <x:c r="B85" s="27" t="str">
        <x:v>KC Concepcion</x:v>
      </x:c>
      <x:c r="C85" s="27" t="str">
        <x:v>WR 49</x:v>
      </x:c>
      <x:c r="D85" s="27" t="str">
        <x:v>CLE</x:v>
      </x:c>
      <x:c r="E85" s="27" t="n">
        <x:v>139</x:v>
      </x:c>
      <x:c r="F85" s="27" t="n">
        <x:v>137</x:v>
      </x:c>
      <x:c r="G85" s="27" t="n">
        <x:v>-13.9</x:v>
      </x:c>
      <x:c r="H85" s="28"/>
      <x:c r="J85" s="33" t="n">
        <x:v>185.4</x:v>
      </x:c>
      <x:c r="K85" s="27" t="str">
        <x:v>AJ Barner</x:v>
      </x:c>
      <x:c r="L85" s="27" t="str">
        <x:v>TE 22</x:v>
      </x:c>
      <x:c r="M85" s="27" t="str">
        <x:v>SEA</x:v>
      </x:c>
      <x:c r="N85" s="27" t="n">
        <x:v>129</x:v>
      </x:c>
      <x:c r="O85" s="27" t="n">
        <x:v>163</x:v>
      </x:c>
      <x:c r="P85" s="27" t="n">
        <x:v>56.4</x:v>
      </x:c>
      <x:c r="Q85" s="28"/>
    </x:row>
    <x:row r="86" ht="18" customHeight="1">
      <x:c r="A86" s="34" t="n">
        <x:v>128.2</x:v>
      </x:c>
      <x:c r="B86" s="30" t="str">
        <x:v>Rachaad White</x:v>
      </x:c>
      <x:c r="C86" s="30" t="str">
        <x:v>RB 41</x:v>
      </x:c>
      <x:c r="D86" s="30" t="str">
        <x:v>WAS</x:v>
      </x:c>
      <x:c r="E86" s="30" t="n">
        <x:v>154</x:v>
      </x:c>
      <x:c r="F86" s="30" t="n">
        <x:v>166</x:v>
      </x:c>
      <x:c r="G86" s="30" t="n">
        <x:v>-25.8</x:v>
      </x:c>
      <x:c r="H86" s="31"/>
      <x:c r="J86" s="34" t="n">
        <x:v>186.6</x:v>
      </x:c>
      <x:c r="K86" s="30" t="str">
        <x:v>Isiah Pacheco</x:v>
      </x:c>
      <x:c r="L86" s="30" t="str">
        <x:v>RB 53</x:v>
      </x:c>
      <x:c r="M86" s="30" t="str">
        <x:v>DET</x:v>
      </x:c>
      <x:c r="N86" s="30" t="n">
        <x:v>211</x:v>
      </x:c>
      <x:c r="O86" s="30" t="n">
        <x:v>219</x:v>
      </x:c>
      <x:c r="P86" s="30" t="n">
        <x:v>-24.4</x:v>
      </x:c>
      <x:c r="Q86" s="31"/>
    </x:row>
    <x:row r="89">
      <x:c r="A89" s="18" t="str">
        <x:v>2026 DRAFT BOARD - PPR - PAGE 3</x:v>
      </x:c>
    </x:row>
    <x:row r="90">
      <x:c r="A90" s="21" t="str">
        <x:v>ADP</x:v>
      </x:c>
      <x:c r="B90" s="21" t="str">
        <x:v>Player</x:v>
      </x:c>
      <x:c r="C90" s="21" t="str">
        <x:v>ADP Pos</x:v>
      </x:c>
      <x:c r="D90" s="21" t="str">
        <x:v>Team</x:v>
      </x:c>
      <x:c r="E90" s="21" t="str">
        <x:v>Dec</x:v>
      </x:c>
      <x:c r="F90" s="21" t="str">
        <x:v>Ind</x:v>
      </x:c>
      <x:c r="G90" s="21" t="str">
        <x:v>Gap</x:v>
      </x:c>
      <x:c r="H90" s="21" t="str">
        <x:v>Pick</x:v>
      </x:c>
      <x:c r="J90" s="21" t="str">
        <x:v>ADP</x:v>
      </x:c>
      <x:c r="K90" s="21" t="str">
        <x:v>Player</x:v>
      </x:c>
      <x:c r="L90" s="21" t="str">
        <x:v>ADP Pos</x:v>
      </x:c>
      <x:c r="M90" s="21" t="str">
        <x:v>Team</x:v>
      </x:c>
      <x:c r="N90" s="21" t="str">
        <x:v>Dec</x:v>
      </x:c>
      <x:c r="O90" s="21" t="str">
        <x:v>Ind</x:v>
      </x:c>
      <x:c r="P90" s="21" t="str">
        <x:v>Gap</x:v>
      </x:c>
      <x:c r="Q90" s="21" t="str">
        <x:v>Pick</x:v>
      </x:c>
    </x:row>
    <x:row r="91" ht="18" customHeight="1">
      <x:c r="A91" s="32" t="n">
        <x:v>187.1</x:v>
      </x:c>
      <x:c r="B91" s="24" t="str">
        <x:v>Juwan Johnson</x:v>
      </x:c>
      <x:c r="C91" s="24" t="str">
        <x:v>TE 23</x:v>
      </x:c>
      <x:c r="D91" s="24" t="str">
        <x:v>NO</x:v>
      </x:c>
      <x:c r="E91" s="24" t="n">
        <x:v>88</x:v>
      </x:c>
      <x:c r="F91" s="24" t="n">
        <x:v>84</x:v>
      </x:c>
      <x:c r="G91" s="24" t="n">
        <x:v>99.1</x:v>
      </x:c>
      <x:c r="H91" s="25"/>
      <x:c r="J91" s="32" t="n">
        <x:v>227.9</x:v>
      </x:c>
      <x:c r="K91" s="24" t="str">
        <x:v>Michael Penix</x:v>
      </x:c>
      <x:c r="L91" s="24" t="str">
        <x:v>QB 29</x:v>
      </x:c>
      <x:c r="M91" s="24" t="str">
        <x:v>ATL</x:v>
      </x:c>
      <x:c r="N91" s="24" t="n">
        <x:v>232</x:v>
      </x:c>
      <x:c r="O91" s="24" t="n">
        <x:v>213</x:v>
      </x:c>
      <x:c r="P91" s="24" t="n">
        <x:v>-4.1</x:v>
      </x:c>
      <x:c r="Q91" s="25"/>
    </x:row>
    <x:row r="92" ht="18" customHeight="1">
      <x:c r="A92" s="33" t="n">
        <x:v>188.2</x:v>
      </x:c>
      <x:c r="B92" s="27" t="str">
        <x:v>Zachariah Branch</x:v>
      </x:c>
      <x:c r="C92" s="27" t="str">
        <x:v>WR 64</x:v>
      </x:c>
      <x:c r="D92" s="27" t="str">
        <x:v>ATL</x:v>
      </x:c>
      <x:c r="E92" s="27" t="n">
        <x:v>198</x:v>
      </x:c>
      <x:c r="F92" s="27" t="n">
        <x:v>185</x:v>
      </x:c>
      <x:c r="G92" s="27" t="n">
        <x:v>-9.8</x:v>
      </x:c>
      <x:c r="H92" s="28"/>
      <x:c r="J92" s="33" t="n">
        <x:v>228.3</x:v>
      </x:c>
      <x:c r="K92" s="27" t="str">
        <x:v>Pat Bryant</x:v>
      </x:c>
      <x:c r="L92" s="27" t="str">
        <x:v>WR 80</x:v>
      </x:c>
      <x:c r="M92" s="27" t="str">
        <x:v>DEN</x:v>
      </x:c>
      <x:c r="N92" s="27" t="n">
        <x:v>192</x:v>
      </x:c>
      <x:c r="O92" s="27" t="n">
        <x:v>189</x:v>
      </x:c>
      <x:c r="P92" s="27" t="n">
        <x:v>36.3</x:v>
      </x:c>
      <x:c r="Q92" s="28"/>
    </x:row>
    <x:row r="93" ht="18" customHeight="1">
      <x:c r="A93" s="33" t="n">
        <x:v>188.7</x:v>
      </x:c>
      <x:c r="B93" s="27" t="str">
        <x:v>Dylan Sampson</x:v>
      </x:c>
      <x:c r="C93" s="27" t="str">
        <x:v>RB 54</x:v>
      </x:c>
      <x:c r="D93" s="27" t="str">
        <x:v>CLE</x:v>
      </x:c>
      <x:c r="E93" s="27" t="n">
        <x:v>174</x:v>
      </x:c>
      <x:c r="F93" s="27" t="n">
        <x:v>167</x:v>
      </x:c>
      <x:c r="G93" s="27" t="n">
        <x:v>14.7</x:v>
      </x:c>
      <x:c r="H93" s="28"/>
      <x:c r="J93" s="33" t="n">
        <x:v>228.7</x:v>
      </x:c>
      <x:c r="K93" s="27" t="str">
        <x:v>Tory Horton</x:v>
      </x:c>
      <x:c r="L93" s="27" t="str">
        <x:v>WR 81</x:v>
      </x:c>
      <x:c r="M93" s="27" t="str">
        <x:v>SEA</x:v>
      </x:c>
      <x:c r="N93" s="27" t="n">
        <x:v>195</x:v>
      </x:c>
      <x:c r="O93" s="27" t="n">
        <x:v>196</x:v>
      </x:c>
      <x:c r="P93" s="27" t="n">
        <x:v>33.7</x:v>
      </x:c>
      <x:c r="Q93" s="28"/>
    </x:row>
    <x:row r="94" ht="18" customHeight="1">
      <x:c r="A94" s="33" t="n">
        <x:v>190.1</x:v>
      </x:c>
      <x:c r="B94" s="27" t="str">
        <x:v>Jerry Jeudy</x:v>
      </x:c>
      <x:c r="C94" s="27" t="str">
        <x:v>WR 65</x:v>
      </x:c>
      <x:c r="D94" s="27" t="str">
        <x:v>CLE</x:v>
      </x:c>
      <x:c r="E94" s="27" t="n">
        <x:v>143</x:v>
      </x:c>
      <x:c r="F94" s="27" t="n">
        <x:v>118</x:v>
      </x:c>
      <x:c r="G94" s="27" t="n">
        <x:v>47.1</x:v>
      </x:c>
      <x:c r="H94" s="28"/>
      <x:c r="J94" s="33" t="n">
        <x:v>229.2</x:v>
      </x:c>
      <x:c r="K94" s="27" t="str">
        <x:v>Elijah Sarratt</x:v>
      </x:c>
      <x:c r="L94" s="27" t="str">
        <x:v>WR 82</x:v>
      </x:c>
      <x:c r="M94" s="27" t="str">
        <x:v>BAL</x:v>
      </x:c>
      <x:c r="N94" s="27" t="n">
        <x:v>217</x:v>
      </x:c>
      <x:c r="O94" s="27" t="n">
        <x:v>223</x:v>
      </x:c>
      <x:c r="P94" s="27" t="n">
        <x:v>12.2</x:v>
      </x:c>
      <x:c r="Q94" s="28"/>
    </x:row>
    <x:row r="95" ht="18" customHeight="1">
      <x:c r="A95" s="33" t="n">
        <x:v>191.2</x:v>
      </x:c>
      <x:c r="B95" s="27" t="str">
        <x:v>Nicholas Singleton</x:v>
      </x:c>
      <x:c r="C95" s="27" t="str">
        <x:v>RB 55</x:v>
      </x:c>
      <x:c r="D95" s="27" t="str">
        <x:v>TEN</x:v>
      </x:c>
      <x:c r="E95" s="27" t="n">
        <x:v>204</x:v>
      </x:c>
      <x:c r="F95" s="27" t="n">
        <x:v>200</x:v>
      </x:c>
      <x:c r="G95" s="27" t="n">
        <x:v>-12.8</x:v>
      </x:c>
      <x:c r="H95" s="28"/>
      <x:c r="J95" s="33" t="n">
        <x:v>229.4</x:v>
      </x:c>
      <x:c r="K95" s="27" t="str">
        <x:v>Chimere Dike</x:v>
      </x:c>
      <x:c r="L95" s="27" t="str">
        <x:v>WR 83</x:v>
      </x:c>
      <x:c r="M95" s="27" t="str">
        <x:v>TEN</x:v>
      </x:c>
      <x:c r="N95" s="27" t="n">
        <x:v>199</x:v>
      </x:c>
      <x:c r="O95" s="27" t="n">
        <x:v>184</x:v>
      </x:c>
      <x:c r="P95" s="27" t="n">
        <x:v>30.4</x:v>
      </x:c>
      <x:c r="Q95" s="28"/>
    </x:row>
    <x:row r="96" ht="18" customHeight="1">
      <x:c r="A96" s="33" t="n">
        <x:v>192.5</x:v>
      </x:c>
      <x:c r="B96" s="27" t="str">
        <x:v>Malik Willis</x:v>
      </x:c>
      <x:c r="C96" s="27" t="str">
        <x:v>QB 23</x:v>
      </x:c>
      <x:c r="D96" s="27" t="str">
        <x:v>MIA</x:v>
      </x:c>
      <x:c r="E96" s="27" t="n">
        <x:v>120</x:v>
      </x:c>
      <x:c r="F96" s="27" t="n">
        <x:v>177</x:v>
      </x:c>
      <x:c r="G96" s="27" t="n">
        <x:v>72.5</x:v>
      </x:c>
      <x:c r="H96" s="28"/>
      <x:c r="J96" s="33" t="n">
        <x:v>229.7</x:v>
      </x:c>
      <x:c r="K96" s="27" t="str">
        <x:v>Bryce Young</x:v>
      </x:c>
      <x:c r="L96" s="27" t="str">
        <x:v>QB 30</x:v>
      </x:c>
      <x:c r="M96" s="27" t="str">
        <x:v>CAR</x:v>
      </x:c>
      <x:c r="N96" s="27" t="n">
        <x:v>155</x:v>
      </x:c>
      <x:c r="O96" s="27" t="n">
        <x:v>159</x:v>
      </x:c>
      <x:c r="P96" s="27" t="n">
        <x:v>74.7</x:v>
      </x:c>
      <x:c r="Q96" s="28"/>
    </x:row>
    <x:row r="97" ht="18" customHeight="1">
      <x:c r="A97" s="33" t="n">
        <x:v>193.2</x:v>
      </x:c>
      <x:c r="B97" s="27" t="str">
        <x:v>Dalton Schultz</x:v>
      </x:c>
      <x:c r="C97" s="27" t="str">
        <x:v>TE 24</x:v>
      </x:c>
      <x:c r="D97" s="27" t="str">
        <x:v>HOU</x:v>
      </x:c>
      <x:c r="E97" s="27" t="n">
        <x:v>101</x:v>
      </x:c>
      <x:c r="F97" s="27" t="n">
        <x:v>100</x:v>
      </x:c>
      <x:c r="G97" s="27" t="n">
        <x:v>92.2</x:v>
      </x:c>
      <x:c r="H97" s="28"/>
      <x:c r="J97" s="33" t="n">
        <x:v>230.4</x:v>
      </x:c>
      <x:c r="K97" s="27" t="str">
        <x:v>Greg Dulcich</x:v>
      </x:c>
      <x:c r="L97" s="27" t="str">
        <x:v>TE 29</x:v>
      </x:c>
      <x:c r="M97" s="27" t="str">
        <x:v>MIA</x:v>
      </x:c>
      <x:c r="N97" s="27" t="n">
        <x:v>150</x:v>
      </x:c>
      <x:c r="O97" s="27" t="n">
        <x:v>176</x:v>
      </x:c>
      <x:c r="P97" s="27" t="n">
        <x:v>80.4</x:v>
      </x:c>
      <x:c r="Q97" s="28"/>
    </x:row>
    <x:row r="98" ht="18" customHeight="1">
      <x:c r="A98" s="33" t="n">
        <x:v>194.1</x:v>
      </x:c>
      <x:c r="B98" s="27" t="str">
        <x:v>Jauan Jennings</x:v>
      </x:c>
      <x:c r="C98" s="27" t="str">
        <x:v>WR 66</x:v>
      </x:c>
      <x:c r="D98" s="27" t="str">
        <x:v>MIN</x:v>
      </x:c>
      <x:c r="E98" s="27" t="n">
        <x:v>159</x:v>
      </x:c>
      <x:c r="F98" s="27" t="n">
        <x:v>142</x:v>
      </x:c>
      <x:c r="G98" s="27" t="n">
        <x:v>35.1</x:v>
      </x:c>
      <x:c r="H98" s="28"/>
      <x:c r="J98" s="33" t="n">
        <x:v>230.8</x:v>
      </x:c>
      <x:c r="K98" s="27" t="str">
        <x:v>Germie Bernard</x:v>
      </x:c>
      <x:c r="L98" s="27" t="str">
        <x:v>WR 84</x:v>
      </x:c>
      <x:c r="M98" s="27" t="str">
        <x:v>PIT</x:v>
      </x:c>
      <x:c r="N98" s="27" t="n">
        <x:v>187</x:v>
      </x:c>
      <x:c r="O98" s="27" t="n">
        <x:v>164</x:v>
      </x:c>
      <x:c r="P98" s="27" t="n">
        <x:v>43.8</x:v>
      </x:c>
      <x:c r="Q98" s="28"/>
    </x:row>
    <x:row r="99" ht="18" customHeight="1">
      <x:c r="A99" s="33" t="n">
        <x:v>195.6</x:v>
      </x:c>
      <x:c r="B99" s="27" t="str">
        <x:v>Emmett Johnson</x:v>
      </x:c>
      <x:c r="C99" s="27" t="str">
        <x:v>RB 56</x:v>
      </x:c>
      <x:c r="D99" s="27" t="str">
        <x:v>KC</x:v>
      </x:c>
      <x:c r="E99" s="27" t="n">
        <x:v>207</x:v>
      </x:c>
      <x:c r="F99" s="27" t="n">
        <x:v>203</x:v>
      </x:c>
      <x:c r="G99" s="27" t="n">
        <x:v>-11.4</x:v>
      </x:c>
      <x:c r="H99" s="28"/>
      <x:c r="J99" s="33" t="n">
        <x:v>232.2</x:v>
      </x:c>
      <x:c r="K99" s="27" t="str">
        <x:v>Theo Johnson</x:v>
      </x:c>
      <x:c r="L99" s="27" t="str">
        <x:v>TE 30</x:v>
      </x:c>
      <x:c r="M99" s="27" t="str">
        <x:v>NYG</x:v>
      </x:c>
      <x:c r="N99" s="27" t="n">
        <x:v>146</x:v>
      </x:c>
      <x:c r="O99" s="27" t="n">
        <x:v>122</x:v>
      </x:c>
      <x:c r="P99" s="27" t="n">
        <x:v>86.2</x:v>
      </x:c>
      <x:c r="Q99" s="28"/>
    </x:row>
    <x:row r="100" ht="18" customHeight="1">
      <x:c r="A100" s="33" t="n">
        <x:v>195.8</x:v>
      </x:c>
      <x:c r="B100" s="27" t="str">
        <x:v>Jalen McMillan</x:v>
      </x:c>
      <x:c r="C100" s="27" t="str">
        <x:v>WR 67</x:v>
      </x:c>
      <x:c r="D100" s="27" t="str">
        <x:v>TB</x:v>
      </x:c>
      <x:c r="E100" s="27" t="n">
        <x:v>148</x:v>
      </x:c>
      <x:c r="F100" s="27" t="n">
        <x:v>152</x:v>
      </x:c>
      <x:c r="G100" s="27" t="n">
        <x:v>47.8</x:v>
      </x:c>
      <x:c r="H100" s="28"/>
      <x:c r="J100" s="33" t="n">
        <x:v>232.5</x:v>
      </x:c>
      <x:c r="K100" s="27" t="str">
        <x:v>Jaydon Blue</x:v>
      </x:c>
      <x:c r="L100" s="27" t="str">
        <x:v>RB 66</x:v>
      </x:c>
      <x:c r="M100" s="27" t="str">
        <x:v>DAL</x:v>
      </x:c>
      <x:c r="N100" s="27" t="n">
        <x:v>202</x:v>
      </x:c>
      <x:c r="O100" s="27" t="n">
        <x:v>192</x:v>
      </x:c>
      <x:c r="P100" s="27" t="n">
        <x:v>30.5</x:v>
      </x:c>
      <x:c r="Q100" s="28"/>
    </x:row>
    <x:row r="101" ht="18" customHeight="1">
      <x:c r="A101" s="33" t="n">
        <x:v>198.2</x:v>
      </x:c>
      <x:c r="B101" s="27" t="str">
        <x:v>Cyrus Allen</x:v>
      </x:c>
      <x:c r="C101" s="27" t="str">
        <x:v>WR 68</x:v>
      </x:c>
      <x:c r="D101" s="27" t="str">
        <x:v>KC</x:v>
      </x:c>
      <x:c r="E101" s="27" t="n">
        <x:v>165</x:v>
      </x:c>
      <x:c r="F101" s="27" t="n">
        <x:v>211</x:v>
      </x:c>
      <x:c r="G101" s="27" t="n">
        <x:v>33.2</x:v>
      </x:c>
      <x:c r="H101" s="28"/>
      <x:c r="J101" s="33" t="n">
        <x:v>232.7</x:v>
      </x:c>
      <x:c r="K101" s="27" t="str">
        <x:v>Rashod Bateman</x:v>
      </x:c>
      <x:c r="L101" s="27" t="str">
        <x:v>WR 85</x:v>
      </x:c>
      <x:c r="M101" s="27" t="str">
        <x:v>BAL</x:v>
      </x:c>
      <x:c r="N101" s="27" t="n">
        <x:v>191</x:v>
      </x:c>
      <x:c r="O101" s="27" t="n">
        <x:v>207</x:v>
      </x:c>
      <x:c r="P101" s="27" t="n">
        <x:v>41.7</x:v>
      </x:c>
      <x:c r="Q101" s="28"/>
    </x:row>
    <x:row r="102" ht="18" customHeight="1">
      <x:c r="A102" s="33" t="n">
        <x:v>199.4</x:v>
      </x:c>
      <x:c r="B102" s="27" t="str">
        <x:v>Malik Washington</x:v>
      </x:c>
      <x:c r="C102" s="27" t="str">
        <x:v>WR 69</x:v>
      </x:c>
      <x:c r="D102" s="27" t="str">
        <x:v>MIA</x:v>
      </x:c>
      <x:c r="E102" s="27" t="n">
        <x:v>189</x:v>
      </x:c>
      <x:c r="F102" s="27" t="n">
        <x:v>221</x:v>
      </x:c>
      <x:c r="G102" s="27" t="n">
        <x:v>10.4</x:v>
      </x:c>
      <x:c r="H102" s="28"/>
      <x:c r="J102" s="33" t="n">
        <x:v>233.3</x:v>
      </x:c>
      <x:c r="K102" s="27" t="str">
        <x:v>Ray Davis</x:v>
      </x:c>
      <x:c r="L102" s="27" t="str">
        <x:v>RB 67</x:v>
      </x:c>
      <x:c r="M102" s="27" t="str">
        <x:v>BUF</x:v>
      </x:c>
      <x:c r="N102" s="27" t="n">
        <x:v>226</x:v>
      </x:c>
      <x:c r="O102" s="27" t="n">
        <x:v>233</x:v>
      </x:c>
      <x:c r="P102" s="27" t="n">
        <x:v>7.3</x:v>
      </x:c>
      <x:c r="Q102" s="28"/>
    </x:row>
    <x:row r="103" ht="18" customHeight="1">
      <x:c r="A103" s="33" t="n">
        <x:v>200.3</x:v>
      </x:c>
      <x:c r="B103" s="27" t="str">
        <x:v>MarShawn Lloyd</x:v>
      </x:c>
      <x:c r="C103" s="27" t="str">
        <x:v>RB 57</x:v>
      </x:c>
      <x:c r="D103" s="27" t="str">
        <x:v>GB</x:v>
      </x:c>
      <x:c r="E103" s="27" t="n">
        <x:v>186</x:v>
      </x:c>
      <x:c r="F103" s="27" t="n">
        <x:v>194</x:v>
      </x:c>
      <x:c r="G103" s="27" t="n">
        <x:v>14.3</x:v>
      </x:c>
      <x:c r="H103" s="28"/>
      <x:c r="J103" s="33" t="n">
        <x:v>234.3</x:v>
      </x:c>
      <x:c r="K103" s="27" t="str">
        <x:v>Gunnar Helm</x:v>
      </x:c>
      <x:c r="L103" s="27" t="str">
        <x:v>TE 31</x:v>
      </x:c>
      <x:c r="M103" s="27" t="str">
        <x:v>TEN</x:v>
      </x:c>
      <x:c r="N103" s="27" t="n">
        <x:v>156</x:v>
      </x:c>
      <x:c r="O103" s="27" t="n">
        <x:v>214</x:v>
      </x:c>
      <x:c r="P103" s="27" t="n">
        <x:v>78.3</x:v>
      </x:c>
      <x:c r="Q103" s="28"/>
    </x:row>
    <x:row r="104" ht="18" customHeight="1">
      <x:c r="A104" s="33" t="n">
        <x:v>202.1</x:v>
      </x:c>
      <x:c r="B104" s="27" t="str">
        <x:v>Mike Washington</x:v>
      </x:c>
      <x:c r="C104" s="27" t="str">
        <x:v>RB 58</x:v>
      </x:c>
      <x:c r="D104" s="27" t="str">
        <x:v>LV</x:v>
      </x:c>
      <x:c r="E104" s="27" t="n">
        <x:v>182</x:v>
      </x:c>
      <x:c r="F104" s="27" t="n">
        <x:v>120</x:v>
      </x:c>
      <x:c r="G104" s="27" t="n">
        <x:v>20.1</x:v>
      </x:c>
      <x:c r="H104" s="28"/>
      <x:c r="J104" s="33" t="n">
        <x:v>234.8</x:v>
      </x:c>
      <x:c r="K104" s="27" t="str">
        <x:v>Keon Coleman</x:v>
      </x:c>
      <x:c r="L104" s="27" t="str">
        <x:v>WR 86</x:v>
      </x:c>
      <x:c r="M104" s="27" t="str">
        <x:v>BUF</x:v>
      </x:c>
      <x:c r="N104" s="27" t="n">
        <x:v>170</x:v>
      </x:c>
      <x:c r="O104" s="27" t="n">
        <x:v>151</x:v>
      </x:c>
      <x:c r="P104" s="27" t="n">
        <x:v>64.8</x:v>
      </x:c>
      <x:c r="Q104" s="28"/>
    </x:row>
    <x:row r="105" ht="18" customHeight="1">
      <x:c r="A105" s="33" t="n">
        <x:v>204.9</x:v>
      </x:c>
      <x:c r="B105" s="27" t="str">
        <x:v>C.J. Stroud</x:v>
      </x:c>
      <x:c r="C105" s="27" t="str">
        <x:v>QB 24</x:v>
      </x:c>
      <x:c r="D105" s="27" t="str">
        <x:v>HOU</x:v>
      </x:c>
      <x:c r="E105" s="27" t="n">
        <x:v>135</x:v>
      </x:c>
      <x:c r="F105" s="27" t="n">
        <x:v>115</x:v>
      </x:c>
      <x:c r="G105" s="27" t="n">
        <x:v>69.9</x:v>
      </x:c>
      <x:c r="H105" s="28"/>
      <x:c r="J105" s="33" t="n">
        <x:v>235.5</x:v>
      </x:c>
      <x:c r="K105" s="27" t="str">
        <x:v>Ryan Flournoy</x:v>
      </x:c>
      <x:c r="L105" s="27" t="str">
        <x:v>WR 87</x:v>
      </x:c>
      <x:c r="M105" s="27" t="str">
        <x:v>DAL</x:v>
      </x:c>
      <x:c r="N105" s="27" t="n">
        <x:v>178</x:v>
      </x:c>
      <x:c r="O105" s="27" t="n">
        <x:v>205</x:v>
      </x:c>
      <x:c r="P105" s="27" t="n">
        <x:v>57.5</x:v>
      </x:c>
      <x:c r="Q105" s="28"/>
    </x:row>
    <x:row r="106" ht="18" customHeight="1">
      <x:c r="A106" s="33" t="n">
        <x:v>205.3</x:v>
      </x:c>
      <x:c r="B106" s="27" t="str">
        <x:v>Tre Tucker</x:v>
      </x:c>
      <x:c r="C106" s="27" t="str">
        <x:v>WR 70</x:v>
      </x:c>
      <x:c r="D106" s="27" t="str">
        <x:v>LV</x:v>
      </x:c>
      <x:c r="E106" s="27" t="n">
        <x:v>131</x:v>
      </x:c>
      <x:c r="F106" s="27" t="n">
        <x:v>94</x:v>
      </x:c>
      <x:c r="G106" s="27" t="n">
        <x:v>74.3</x:v>
      </x:c>
      <x:c r="H106" s="28"/>
      <x:c r="J106" s="33" t="n">
        <x:v>236.1</x:v>
      </x:c>
      <x:c r="K106" s="27" t="str">
        <x:v>Shedeur Sanders</x:v>
      </x:c>
      <x:c r="L106" s="27" t="str">
        <x:v>QB 31</x:v>
      </x:c>
      <x:c r="M106" s="27" t="str">
        <x:v>CLE</x:v>
      </x:c>
      <x:c r="N106" s="27" t="n">
        <x:v>218</x:v>
      </x:c>
      <x:c r="O106" s="27" t="n">
        <x:v>197</x:v>
      </x:c>
      <x:c r="P106" s="27" t="n">
        <x:v>18.1</x:v>
      </x:c>
      <x:c r="Q106" s="28"/>
    </x:row>
    <x:row r="107" ht="18" customHeight="1">
      <x:c r="A107" s="33" t="n">
        <x:v>206.2</x:v>
      </x:c>
      <x:c r="B107" s="27" t="str">
        <x:v>Daniel Jones</x:v>
      </x:c>
      <x:c r="C107" s="27" t="str">
        <x:v>QB 25</x:v>
      </x:c>
      <x:c r="D107" s="27" t="str">
        <x:v>IND</x:v>
      </x:c>
      <x:c r="E107" s="27" t="n">
        <x:v>141</x:v>
      </x:c>
      <x:c r="F107" s="27" t="n">
        <x:v>106</x:v>
      </x:c>
      <x:c r="G107" s="27" t="n">
        <x:v>65.2</x:v>
      </x:c>
      <x:c r="H107" s="28"/>
      <x:c r="J107" s="33" t="n">
        <x:v>236.5</x:v>
      </x:c>
      <x:c r="K107" s="27" t="str">
        <x:v>Tua Tagovailoa</x:v>
      </x:c>
      <x:c r="L107" s="27" t="str">
        <x:v>QB 32</x:v>
      </x:c>
      <x:c r="M107" s="27" t="str">
        <x:v>ATL</x:v>
      </x:c>
      <x:c r="N107" s="27" t="n">
        <x:v>228</x:v>
      </x:c>
      <x:c r="O107" s="27" t="n">
        <x:v>226</x:v>
      </x:c>
      <x:c r="P107" s="27" t="n">
        <x:v>8.5</x:v>
      </x:c>
      <x:c r="Q107" s="28"/>
    </x:row>
    <x:row r="108" ht="18" customHeight="1">
      <x:c r="A108" s="33" t="n">
        <x:v>207.5</x:v>
      </x:c>
      <x:c r="B108" s="27" t="str">
        <x:v>David Njoku</x:v>
      </x:c>
      <x:c r="C108" s="27" t="str">
        <x:v>TE 25</x:v>
      </x:c>
      <x:c r="D108" s="27" t="str">
        <x:v>LAC</x:v>
      </x:c>
      <x:c r="E108" s="27" t="n">
        <x:v>177</x:v>
      </x:c>
      <x:c r="F108" s="27" t="n">
        <x:v>165</x:v>
      </x:c>
      <x:c r="G108" s="27" t="n">
        <x:v>30.5</x:v>
      </x:c>
      <x:c r="H108" s="28"/>
      <x:c r="J108" s="33" t="n">
        <x:v>237.4</x:v>
      </x:c>
      <x:c r="K108" s="27" t="str">
        <x:v>Audric Estime</x:v>
      </x:c>
      <x:c r="L108" s="27" t="str">
        <x:v>RB 68</x:v>
      </x:c>
      <x:c r="M108" s="27" t="str">
        <x:v>NO</x:v>
      </x:c>
      <x:c r="N108" s="27" t="n">
        <x:v>227</x:v>
      </x:c>
      <x:c r="O108" s="27" t="n">
        <x:v>139</x:v>
      </x:c>
      <x:c r="P108" s="27" t="n">
        <x:v>10.4</x:v>
      </x:c>
      <x:c r="Q108" s="28"/>
    </x:row>
    <x:row r="109" ht="18" customHeight="1">
      <x:c r="A109" s="33" t="n">
        <x:v>208.2</x:v>
      </x:c>
      <x:c r="B109" s="27" t="str">
        <x:v>Cam Ward</x:v>
      </x:c>
      <x:c r="C109" s="27" t="str">
        <x:v>QB 26</x:v>
      </x:c>
      <x:c r="D109" s="27" t="str">
        <x:v>TEN</x:v>
      </x:c>
      <x:c r="E109" s="27" t="n">
        <x:v>172</x:v>
      </x:c>
      <x:c r="F109" s="27" t="n">
        <x:v>188</x:v>
      </x:c>
      <x:c r="G109" s="27" t="n">
        <x:v>36.2</x:v>
      </x:c>
      <x:c r="H109" s="28"/>
      <x:c r="J109" s="33" t="n">
        <x:v>237.7</x:v>
      </x:c>
      <x:c r="K109" s="27" t="str">
        <x:v>Adonai Mitchell</x:v>
      </x:c>
      <x:c r="L109" s="27" t="str">
        <x:v>WR 88</x:v>
      </x:c>
      <x:c r="M109" s="27" t="str">
        <x:v>NYJ</x:v>
      </x:c>
      <x:c r="N109" s="27" t="n">
        <x:v>200</x:v>
      </x:c>
      <x:c r="O109" s="27" t="n">
        <x:v>217</x:v>
      </x:c>
      <x:c r="P109" s="27" t="n">
        <x:v>37.7</x:v>
      </x:c>
      <x:c r="Q109" s="28"/>
    </x:row>
    <x:row r="110" ht="18" customHeight="1">
      <x:c r="A110" s="33" t="n">
        <x:v>209.4</x:v>
      </x:c>
      <x:c r="B110" s="27" t="str">
        <x:v>Terrance Ferguson</x:v>
      </x:c>
      <x:c r="C110" s="27" t="str">
        <x:v>TE 26</x:v>
      </x:c>
      <x:c r="D110" s="27" t="str">
        <x:v>LAR</x:v>
      </x:c>
      <x:c r="E110" s="27" t="n">
        <x:v>164</x:v>
      </x:c>
      <x:c r="F110" s="27" t="n">
        <x:v>198</x:v>
      </x:c>
      <x:c r="G110" s="27" t="n">
        <x:v>45.4</x:v>
      </x:c>
      <x:c r="H110" s="28"/>
      <x:c r="J110" s="33" t="n">
        <x:v>237.9</x:v>
      </x:c>
      <x:c r="K110" s="27" t="str">
        <x:v>Kayshon Boutte</x:v>
      </x:c>
      <x:c r="L110" s="27" t="str">
        <x:v>WR 89</x:v>
      </x:c>
      <x:c r="M110" s="27" t="str">
        <x:v>NE</x:v>
      </x:c>
      <x:c r="N110" s="27" t="n">
        <x:v>169</x:v>
      </x:c>
      <x:c r="O110" s="27" t="n">
        <x:v>157</x:v>
      </x:c>
      <x:c r="P110" s="27" t="n">
        <x:v>68.9</x:v>
      </x:c>
      <x:c r="Q110" s="28"/>
    </x:row>
    <x:row r="111" ht="18" customHeight="1">
      <x:c r="A111" s="33" t="n">
        <x:v>209.8</x:v>
      </x:c>
      <x:c r="B111" s="27" t="str">
        <x:v>Tre' Harris</x:v>
      </x:c>
      <x:c r="C111" s="27" t="str">
        <x:v>WR 71</x:v>
      </x:c>
      <x:c r="D111" s="27" t="str">
        <x:v>LAC</x:v>
      </x:c>
      <x:c r="E111" s="27" t="n">
        <x:v>190</x:v>
      </x:c>
      <x:c r="F111" s="27" t="n">
        <x:v>208</x:v>
      </x:c>
      <x:c r="G111" s="27" t="n">
        <x:v>19.8</x:v>
      </x:c>
      <x:c r="H111" s="28"/>
      <x:c r="J111" s="33" t="n">
        <x:v>238.2</x:v>
      </x:c>
      <x:c r="K111" s="27" t="str">
        <x:v>Jack Bech</x:v>
      </x:c>
      <x:c r="L111" s="27" t="str">
        <x:v>WR 90</x:v>
      </x:c>
      <x:c r="M111" s="27" t="str">
        <x:v>LV</x:v>
      </x:c>
      <x:c r="N111" s="27" t="n">
        <x:v>201</x:v>
      </x:c>
      <x:c r="O111" s="27" t="n">
        <x:v>206</x:v>
      </x:c>
      <x:c r="P111" s="27" t="n">
        <x:v>37.2</x:v>
      </x:c>
      <x:c r="Q111" s="28"/>
    </x:row>
    <x:row r="112" ht="18" customHeight="1">
      <x:c r="A112" s="33" t="n">
        <x:v>211</x:v>
      </x:c>
      <x:c r="B112" s="27" t="str">
        <x:v>Braelon Allen</x:v>
      </x:c>
      <x:c r="C112" s="27" t="str">
        <x:v>RB 59</x:v>
      </x:c>
      <x:c r="D112" s="27" t="str">
        <x:v>NYJ</x:v>
      </x:c>
      <x:c r="E112" s="27" t="n">
        <x:v>203</x:v>
      </x:c>
      <x:c r="F112" s="27" t="n">
        <x:v>201</x:v>
      </x:c>
      <x:c r="G112" s="27" t="n">
        <x:v>8</x:v>
      </x:c>
      <x:c r="H112" s="28"/>
      <x:c r="J112" s="33" t="n">
        <x:v>239.6</x:v>
      </x:c>
      <x:c r="K112" s="27" t="str">
        <x:v>Eli Stowers</x:v>
      </x:c>
      <x:c r="L112" s="27" t="str">
        <x:v>TE 32</x:v>
      </x:c>
      <x:c r="M112" s="27" t="str">
        <x:v>PHI</x:v>
      </x:c>
      <x:c r="N112" s="27" t="n">
        <x:v>180</x:v>
      </x:c>
      <x:c r="O112" s="27" t="n">
        <x:v>172</x:v>
      </x:c>
      <x:c r="P112" s="27" t="n">
        <x:v>59.6</x:v>
      </x:c>
      <x:c r="Q112" s="28"/>
    </x:row>
    <x:row r="113" ht="18" customHeight="1">
      <x:c r="A113" s="33" t="n">
        <x:v>211.9</x:v>
      </x:c>
      <x:c r="B113" s="27" t="str">
        <x:v>Devin Neal</x:v>
      </x:c>
      <x:c r="C113" s="27" t="str">
        <x:v>RB 60</x:v>
      </x:c>
      <x:c r="D113" s="27" t="str">
        <x:v>NO</x:v>
      </x:c>
      <x:c r="E113" s="27" t="n">
        <x:v>208</x:v>
      </x:c>
      <x:c r="F113" s="27" t="n">
        <x:v>173</x:v>
      </x:c>
      <x:c r="G113" s="27" t="n">
        <x:v>3.9</x:v>
      </x:c>
      <x:c r="H113" s="28"/>
      <x:c r="J113" s="33" t="n">
        <x:v>239.6</x:v>
      </x:c>
      <x:c r="K113" s="27" t="str">
        <x:v>Ted Hurst</x:v>
      </x:c>
      <x:c r="L113" s="27" t="str">
        <x:v>WR 91</x:v>
      </x:c>
      <x:c r="M113" s="27" t="str">
        <x:v>TB</x:v>
      </x:c>
      <x:c r="N113" s="27" t="n">
        <x:v>188</x:v>
      </x:c>
      <x:c r="O113" s="27" t="n">
        <x:v>193</x:v>
      </x:c>
      <x:c r="P113" s="27" t="n">
        <x:v>51.6</x:v>
      </x:c>
      <x:c r="Q113" s="28"/>
    </x:row>
    <x:row r="114" ht="18" customHeight="1">
      <x:c r="A114" s="33" t="n">
        <x:v>212.3</x:v>
      </x:c>
      <x:c r="B114" s="27" t="str">
        <x:v>Najee Harris</x:v>
      </x:c>
      <x:c r="C114" s="27" t="str">
        <x:v>RB 61</x:v>
      </x:c>
      <x:c r="D114" s="27" t="str">
        <x:v>NYG</x:v>
      </x:c>
      <x:c r="E114" s="27" t="n">
        <x:v>225</x:v>
      </x:c>
      <x:c r="F114" s="27" t="n">
        <x:v>199</x:v>
      </x:c>
      <x:c r="G114" s="27" t="n">
        <x:v>-12.7</x:v>
      </x:c>
      <x:c r="H114" s="28"/>
      <x:c r="J114" s="33" t="n">
        <x:v>239.8</x:v>
      </x:c>
      <x:c r="K114" s="27" t="str">
        <x:v>Devaughn Vele</x:v>
      </x:c>
      <x:c r="L114" s="27" t="str">
        <x:v>WR 92</x:v>
      </x:c>
      <x:c r="M114" s="27" t="str">
        <x:v>NO</x:v>
      </x:c>
      <x:c r="N114" s="27" t="n">
        <x:v>162</x:v>
      </x:c>
      <x:c r="O114" s="27" t="n">
        <x:v>174</x:v>
      </x:c>
      <x:c r="P114" s="27" t="n">
        <x:v>77.8</x:v>
      </x:c>
      <x:c r="Q114" s="28"/>
    </x:row>
    <x:row r="115" ht="18" customHeight="1">
      <x:c r="A115" s="33" t="n">
        <x:v>212.4</x:v>
      </x:c>
      <x:c r="B115" s="27" t="str">
        <x:v>Isaac TeSlaa</x:v>
      </x:c>
      <x:c r="C115" s="27" t="str">
        <x:v>WR 72</x:v>
      </x:c>
      <x:c r="D115" s="27" t="str">
        <x:v>DET</x:v>
      </x:c>
      <x:c r="E115" s="27" t="n">
        <x:v>212</x:v>
      </x:c>
      <x:c r="F115" s="27" t="n">
        <x:v>229</x:v>
      </x:c>
      <x:c r="G115" s="27" t="n">
        <x:v>0.4</x:v>
      </x:c>
      <x:c r="H115" s="28"/>
      <x:c r="J115" s="33" t="n">
        <x:v>239.9</x:v>
      </x:c>
      <x:c r="K115" s="27" t="str">
        <x:v>Pat Freiermuth</x:v>
      </x:c>
      <x:c r="L115" s="27" t="str">
        <x:v>TE 33</x:v>
      </x:c>
      <x:c r="M115" s="27" t="str">
        <x:v>PIT</x:v>
      </x:c>
      <x:c r="N115" s="27" t="n">
        <x:v>133</x:v>
      </x:c>
      <x:c r="O115" s="27" t="n">
        <x:v>153</x:v>
      </x:c>
      <x:c r="P115" s="27" t="n">
        <x:v>106.9</x:v>
      </x:c>
      <x:c r="Q115" s="28"/>
    </x:row>
    <x:row r="116" ht="18" customHeight="1">
      <x:c r="A116" s="33" t="n">
        <x:v>213.7</x:v>
      </x:c>
      <x:c r="B116" s="27" t="str">
        <x:v>Jaylin Noel</x:v>
      </x:c>
      <x:c r="C116" s="27" t="str">
        <x:v>WR 73</x:v>
      </x:c>
      <x:c r="D116" s="27" t="str">
        <x:v>HOU</x:v>
      </x:c>
      <x:c r="E116" s="27" t="n">
        <x:v>196</x:v>
      </x:c>
      <x:c r="F116" s="27" t="n">
        <x:v>220</x:v>
      </x:c>
      <x:c r="G116" s="27" t="n">
        <x:v>17.7</x:v>
      </x:c>
      <x:c r="H116" s="28"/>
      <x:c r="J116" s="33" t="n">
        <x:v>240.6</x:v>
      </x:c>
      <x:c r="K116" s="27" t="str">
        <x:v>Kaytron Allen</x:v>
      </x:c>
      <x:c r="L116" s="27" t="str">
        <x:v>RB 69</x:v>
      </x:c>
      <x:c r="M116" s="27" t="str">
        <x:v>WAS</x:v>
      </x:c>
      <x:c r="N116" s="27" t="n">
        <x:v>224</x:v>
      </x:c>
      <x:c r="O116" s="27" t="n">
        <x:v>227</x:v>
      </x:c>
      <x:c r="P116" s="27" t="n">
        <x:v>16.6</x:v>
      </x:c>
      <x:c r="Q116" s="28"/>
    </x:row>
    <x:row r="117" ht="18" customHeight="1">
      <x:c r="A117" s="33" t="n">
        <x:v>215.2</x:v>
      </x:c>
      <x:c r="B117" s="27" t="str">
        <x:v>Cade Otton</x:v>
      </x:c>
      <x:c r="C117" s="27" t="str">
        <x:v>TE 27</x:v>
      </x:c>
      <x:c r="D117" s="27" t="str">
        <x:v>TB</x:v>
      </x:c>
      <x:c r="E117" s="27" t="n">
        <x:v>116</x:v>
      </x:c>
      <x:c r="F117" s="27" t="n">
        <x:v>113</x:v>
      </x:c>
      <x:c r="G117" s="27" t="n">
        <x:v>99.2</x:v>
      </x:c>
      <x:c r="H117" s="28"/>
      <x:c r="J117" s="33" t="n">
        <x:v>240.6</x:v>
      </x:c>
      <x:c r="K117" s="27" t="str">
        <x:v>Jarquez Hunter</x:v>
      </x:c>
      <x:c r="L117" s="27" t="str">
        <x:v>RB 70</x:v>
      </x:c>
      <x:c r="M117" s="27" t="str">
        <x:v>LAR</x:v>
      </x:c>
      <x:c r="N117" s="27" t="n">
        <x:v>235</x:v>
      </x:c>
      <x:c r="O117" s="27" t="n">
        <x:v>235</x:v>
      </x:c>
      <x:c r="P117" s="27" t="n">
        <x:v>5.6</x:v>
      </x:c>
      <x:c r="Q117" s="28"/>
    </x:row>
    <x:row r="118" ht="18" customHeight="1">
      <x:c r="A118" s="33" t="n">
        <x:v>216.3</x:v>
      </x:c>
      <x:c r="B118" s="27" t="str">
        <x:v>James Conner</x:v>
      </x:c>
      <x:c r="C118" s="27" t="str">
        <x:v>RB 62</x:v>
      </x:c>
      <x:c r="D118" s="27" t="str">
        <x:v>ARI</x:v>
      </x:c>
      <x:c r="E118" s="27" t="n">
        <x:v>173</x:v>
      </x:c>
      <x:c r="F118" s="27" t="n">
        <x:v>129</x:v>
      </x:c>
      <x:c r="G118" s="27" t="n">
        <x:v>43.3</x:v>
      </x:c>
      <x:c r="H118" s="28"/>
      <x:c r="J118" s="33" t="n">
        <x:v>240.9</x:v>
      </x:c>
      <x:c r="K118" s="27" t="str">
        <x:v>Chris Bell</x:v>
      </x:c>
      <x:c r="L118" s="27" t="str">
        <x:v>WR 93</x:v>
      </x:c>
      <x:c r="M118" s="27" t="str">
        <x:v>MIA</x:v>
      </x:c>
      <x:c r="N118" s="27" t="n">
        <x:v>206</x:v>
      </x:c>
      <x:c r="O118" s="27" t="n">
        <x:v>178</x:v>
      </x:c>
      <x:c r="P118" s="27" t="n">
        <x:v>34.9</x:v>
      </x:c>
      <x:c r="Q118" s="28"/>
    </x:row>
    <x:row r="119" ht="18" customHeight="1">
      <x:c r="A119" s="33" t="n">
        <x:v>217.5</x:v>
      </x:c>
      <x:c r="B119" s="27" t="str">
        <x:v>Kaleb Johnson</x:v>
      </x:c>
      <x:c r="C119" s="27" t="str">
        <x:v>RB 63</x:v>
      </x:c>
      <x:c r="D119" s="27" t="str">
        <x:v>PIT</x:v>
      </x:c>
      <x:c r="E119" s="27" t="n">
        <x:v>215</x:v>
      </x:c>
      <x:c r="F119" s="27" t="n">
        <x:v>212</x:v>
      </x:c>
      <x:c r="G119" s="27" t="n">
        <x:v>2.5</x:v>
      </x:c>
      <x:c r="H119" s="28"/>
      <x:c r="J119" s="33" t="n">
        <x:v>241.3</x:v>
      </x:c>
      <x:c r="K119" s="27" t="str">
        <x:v>Kimani Vidal</x:v>
      </x:c>
      <x:c r="L119" s="27" t="str">
        <x:v>RB 71</x:v>
      </x:c>
      <x:c r="M119" s="27" t="str">
        <x:v>LAC</x:v>
      </x:c>
      <x:c r="N119" s="27" t="n">
        <x:v>175</x:v>
      </x:c>
      <x:c r="O119" s="27" t="n">
        <x:v>160</x:v>
      </x:c>
      <x:c r="P119" s="27" t="n">
        <x:v>66.3</x:v>
      </x:c>
      <x:c r="Q119" s="28"/>
    </x:row>
    <x:row r="120" ht="18" customHeight="1">
      <x:c r="A120" s="33" t="n">
        <x:v>218.7</x:v>
      </x:c>
      <x:c r="B120" s="27" t="str">
        <x:v>Antonio Williams</x:v>
      </x:c>
      <x:c r="C120" s="27" t="str">
        <x:v>WR 74</x:v>
      </x:c>
      <x:c r="D120" s="27" t="str">
        <x:v>WAS</x:v>
      </x:c>
      <x:c r="E120" s="27" t="n">
        <x:v>209</x:v>
      </x:c>
      <x:c r="F120" s="27" t="n">
        <x:v>195</x:v>
      </x:c>
      <x:c r="G120" s="27" t="n">
        <x:v>9.7</x:v>
      </x:c>
      <x:c r="H120" s="28"/>
      <x:c r="J120" s="33" t="n">
        <x:v>241.4</x:v>
      </x:c>
      <x:c r="K120" s="27" t="str">
        <x:v>Jake Tonges</x:v>
      </x:c>
      <x:c r="L120" s="27" t="str">
        <x:v>TE 34</x:v>
      </x:c>
      <x:c r="M120" s="27" t="str">
        <x:v>SF</x:v>
      </x:c>
      <x:c r="N120" s="27" t="n">
        <x:v>183</x:v>
      </x:c>
      <x:c r="O120" s="27" t="n">
        <x:v>209</x:v>
      </x:c>
      <x:c r="P120" s="27" t="n">
        <x:v>58.4</x:v>
      </x:c>
      <x:c r="Q120" s="28"/>
    </x:row>
    <x:row r="121" ht="18" customHeight="1">
      <x:c r="A121" s="33" t="n">
        <x:v>219.1</x:v>
      </x:c>
      <x:c r="B121" s="27" t="str">
        <x:v>Keenan Allen</x:v>
      </x:c>
      <x:c r="C121" s="27" t="str">
        <x:v>WR 75</x:v>
      </x:c>
      <x:c r="D121" s="27" t="str">
        <x:v>IND</x:v>
      </x:c>
      <x:c r="E121" s="27" t="n">
        <x:v>160</x:v>
      </x:c>
      <x:c r="F121" s="27" t="n">
        <x:v>155</x:v>
      </x:c>
      <x:c r="G121" s="27" t="n">
        <x:v>59.1</x:v>
      </x:c>
      <x:c r="H121" s="28"/>
      <x:c r="J121" s="33" t="n">
        <x:v>241.5</x:v>
      </x:c>
      <x:c r="K121" s="27" t="str">
        <x:v>Elic Ayomanor</x:v>
      </x:c>
      <x:c r="L121" s="27" t="str">
        <x:v>WR 94</x:v>
      </x:c>
      <x:c r="M121" s="27" t="str">
        <x:v>TEN</x:v>
      </x:c>
      <x:c r="N121" s="27" t="n">
        <x:v>210</x:v>
      </x:c>
      <x:c r="O121" s="27" t="n">
        <x:v>162</x:v>
      </x:c>
      <x:c r="P121" s="27" t="n">
        <x:v>31.5</x:v>
      </x:c>
      <x:c r="Q121" s="28"/>
    </x:row>
    <x:row r="122" ht="18" customHeight="1">
      <x:c r="A122" s="33" t="n">
        <x:v>219.5</x:v>
      </x:c>
      <x:c r="B122" s="27" t="str">
        <x:v>Marvin Mims</x:v>
      </x:c>
      <x:c r="C122" s="27" t="str">
        <x:v>WR 76</x:v>
      </x:c>
      <x:c r="D122" s="27" t="str">
        <x:v>DEN</x:v>
      </x:c>
      <x:c r="E122" s="27" t="n">
        <x:v>214</x:v>
      </x:c>
      <x:c r="F122" s="27" t="n">
        <x:v>216</x:v>
      </x:c>
      <x:c r="G122" s="27" t="n">
        <x:v>5.5</x:v>
      </x:c>
      <x:c r="H122" s="28"/>
      <x:c r="J122" s="33" t="n">
        <x:v>241.7</x:v>
      </x:c>
      <x:c r="K122" s="27" t="str">
        <x:v>Christian Kirk</x:v>
      </x:c>
      <x:c r="L122" s="27" t="str">
        <x:v>WR 95</x:v>
      </x:c>
      <x:c r="M122" s="27" t="str">
        <x:v>SF</x:v>
      </x:c>
      <x:c r="N122" s="27" t="n">
        <x:v>221</x:v>
      </x:c>
      <x:c r="O122" s="27" t="n">
        <x:v>222</x:v>
      </x:c>
      <x:c r="P122" s="27" t="n">
        <x:v>20.7</x:v>
      </x:c>
      <x:c r="Q122" s="28"/>
    </x:row>
    <x:row r="123" ht="18" customHeight="1">
      <x:c r="A123" s="33" t="n">
        <x:v>222.1</x:v>
      </x:c>
      <x:c r="B123" s="27" t="str">
        <x:v>Kyle Williams</x:v>
      </x:c>
      <x:c r="C123" s="27" t="str">
        <x:v>WR 77</x:v>
      </x:c>
      <x:c r="D123" s="27" t="str">
        <x:v>NE</x:v>
      </x:c>
      <x:c r="E123" s="27" t="n">
        <x:v>233</x:v>
      </x:c>
      <x:c r="F123" s="27" t="n">
        <x:v>231</x:v>
      </x:c>
      <x:c r="G123" s="27" t="n">
        <x:v>-10.9</x:v>
      </x:c>
      <x:c r="H123" s="28"/>
      <x:c r="J123" s="33" t="n">
        <x:v>241.8</x:v>
      </x:c>
      <x:c r="K123" s="27" t="str">
        <x:v>Troy Franklin</x:v>
      </x:c>
      <x:c r="L123" s="27" t="str">
        <x:v>WR 96</x:v>
      </x:c>
      <x:c r="M123" s="27" t="str">
        <x:v>DEN</x:v>
      </x:c>
      <x:c r="N123" s="27" t="n">
        <x:v>179</x:v>
      </x:c>
      <x:c r="O123" s="27" t="n">
        <x:v>133</x:v>
      </x:c>
      <x:c r="P123" s="27" t="n">
        <x:v>62.8</x:v>
      </x:c>
      <x:c r="Q123" s="28"/>
    </x:row>
    <x:row r="124" ht="18" customHeight="1">
      <x:c r="A124" s="33" t="n">
        <x:v>223.2</x:v>
      </x:c>
      <x:c r="B124" s="27" t="str">
        <x:v>Malachi Fields</x:v>
      </x:c>
      <x:c r="C124" s="27" t="str">
        <x:v>WR 78</x:v>
      </x:c>
      <x:c r="D124" s="27" t="str">
        <x:v>NYG</x:v>
      </x:c>
      <x:c r="E124" s="27" t="n">
        <x:v>184</x:v>
      </x:c>
      <x:c r="F124" s="27" t="n">
        <x:v>187</x:v>
      </x:c>
      <x:c r="G124" s="27" t="n">
        <x:v>39.2</x:v>
      </x:c>
      <x:c r="H124" s="28"/>
      <x:c r="J124" s="33" t="n">
        <x:v>241.8</x:v>
      </x:c>
      <x:c r="K124" s="27" t="str">
        <x:v>Ty Simpson</x:v>
      </x:c>
      <x:c r="L124" s="27" t="str">
        <x:v>QB 33</x:v>
      </x:c>
      <x:c r="M124" s="27" t="str">
        <x:v>LAR</x:v>
      </x:c>
      <x:c r="N124" s="27" t="n">
        <x:v>230</x:v>
      </x:c>
      <x:c r="O124" s="27" t="n">
        <x:v>132</x:v>
      </x:c>
      <x:c r="P124" s="27" t="n">
        <x:v>11.8</x:v>
      </x:c>
      <x:c r="Q124" s="28"/>
    </x:row>
    <x:row r="125" ht="18" customHeight="1">
      <x:c r="A125" s="33" t="n">
        <x:v>224.2</x:v>
      </x:c>
      <x:c r="B125" s="27" t="str">
        <x:v>J.J. McCarthy</x:v>
      </x:c>
      <x:c r="C125" s="27" t="str">
        <x:v>QB 27</x:v>
      </x:c>
      <x:c r="D125" s="27" t="str">
        <x:v>MIN</x:v>
      </x:c>
      <x:c r="E125" s="27" t="n">
        <x:v>234</x:v>
      </x:c>
      <x:c r="F125" s="27" t="n">
        <x:v>202</x:v>
      </x:c>
      <x:c r="G125" s="27" t="n">
        <x:v>-9.8</x:v>
      </x:c>
      <x:c r="H125" s="28"/>
      <x:c r="J125" s="34" t="n">
        <x:v>242</x:v>
      </x:c>
      <x:c r="K125" s="30" t="str">
        <x:v>Demond Claiborne</x:v>
      </x:c>
      <x:c r="L125" s="30" t="str">
        <x:v>RB 72</x:v>
      </x:c>
      <x:c r="M125" s="30" t="str">
        <x:v>MIN</x:v>
      </x:c>
      <x:c r="N125" s="30" t="n">
        <x:v>222</x:v>
      </x:c>
      <x:c r="O125" s="30" t="n">
        <x:v>204</x:v>
      </x:c>
      <x:c r="P125" s="30" t="n">
        <x:v>20</x:v>
      </x:c>
      <x:c r="Q125" s="31"/>
    </x:row>
    <x:row r="126" ht="18" customHeight="1">
      <x:c r="A126" s="33" t="n">
        <x:v>224.3</x:v>
      </x:c>
      <x:c r="B126" s="27" t="str">
        <x:v>Mason Taylor</x:v>
      </x:c>
      <x:c r="C126" s="27" t="str">
        <x:v>TE 28</x:v>
      </x:c>
      <x:c r="D126" s="27" t="str">
        <x:v>NYJ</x:v>
      </x:c>
      <x:c r="E126" s="27" t="n">
        <x:v>166</x:v>
      </x:c>
      <x:c r="F126" s="27" t="n">
        <x:v>179</x:v>
      </x:c>
      <x:c r="G126" s="27" t="n">
        <x:v>58.3</x:v>
      </x:c>
      <x:c r="H126" s="28"/>
    </x:row>
    <x:row r="127" ht="18" customHeight="1">
      <x:c r="A127" s="33" t="n">
        <x:v>224.8</x:v>
      </x:c>
      <x:c r="B127" s="27" t="str">
        <x:v>Kendre Miller</x:v>
      </x:c>
      <x:c r="C127" s="27" t="str">
        <x:v>RB 64</x:v>
      </x:c>
      <x:c r="D127" s="27" t="str">
        <x:v>NO</x:v>
      </x:c>
      <x:c r="E127" s="27" t="n">
        <x:v>220</x:v>
      </x:c>
      <x:c r="F127" s="27" t="n">
        <x:v>190</x:v>
      </x:c>
      <x:c r="G127" s="27" t="n">
        <x:v>4.8</x:v>
      </x:c>
      <x:c r="H127" s="28"/>
    </x:row>
    <x:row r="128" ht="18" customHeight="1">
      <x:c r="A128" s="33" t="n">
        <x:v>225.1</x:v>
      </x:c>
      <x:c r="B128" s="27" t="str">
        <x:v>Cooper Kupp</x:v>
      </x:c>
      <x:c r="C128" s="27" t="str">
        <x:v>WR 79</x:v>
      </x:c>
      <x:c r="D128" s="27" t="str">
        <x:v>SEA</x:v>
      </x:c>
      <x:c r="E128" s="27" t="n">
        <x:v>161</x:v>
      </x:c>
      <x:c r="F128" s="27" t="n">
        <x:v>148</x:v>
      </x:c>
      <x:c r="G128" s="27" t="n">
        <x:v>64.1</x:v>
      </x:c>
      <x:c r="H128" s="28"/>
    </x:row>
    <x:row r="129" ht="18" customHeight="1">
      <x:c r="A129" s="33" t="n">
        <x:v>226.3</x:v>
      </x:c>
      <x:c r="B129" s="27" t="str">
        <x:v>Brashard Smith</x:v>
      </x:c>
      <x:c r="C129" s="27" t="str">
        <x:v>RB 65</x:v>
      </x:c>
      <x:c r="D129" s="27" t="str">
        <x:v>KC</x:v>
      </x:c>
      <x:c r="E129" s="27" t="n">
        <x:v>229</x:v>
      </x:c>
      <x:c r="F129" s="27" t="n">
        <x:v>218</x:v>
      </x:c>
      <x:c r="G129" s="27" t="n">
        <x:v>-2.7</x:v>
      </x:c>
      <x:c r="H129" s="28"/>
    </x:row>
    <x:row r="130" ht="18" customHeight="1">
      <x:c r="A130" s="34" t="n">
        <x:v>227.9</x:v>
      </x:c>
      <x:c r="B130" s="30" t="str">
        <x:v>Aaron Rodgers</x:v>
      </x:c>
      <x:c r="C130" s="30" t="str">
        <x:v>QB 28</x:v>
      </x:c>
      <x:c r="D130" s="30" t="str">
        <x:v>PIT</x:v>
      </x:c>
      <x:c r="E130" s="30" t="n">
        <x:v>171</x:v>
      </x:c>
      <x:c r="F130" s="30" t="n">
        <x:v>146</x:v>
      </x:c>
      <x:c r="G130" s="30" t="n">
        <x:v>56.9</x:v>
      </x:c>
      <x:c r="H130" s="31"/>
    </x:row>
  </x:sheetData>
  <x:mergeCells>
    <x:mergeCell ref="A1:Q1"/>
    <x:mergeCell ref="A45:Q45"/>
    <x:mergeCell ref="A89:Q89"/>
  </x:mergeCells>
  <x:conditionalFormatting sqref="C3:C42">
    <x:cfRule type="containsText" dxfId="54" priority="1" operator="containsText" text="QB"/>
    <x:cfRule type="containsText" dxfId="55" priority="2" operator="containsText" text="RB"/>
    <x:cfRule type="containsText" dxfId="56" priority="3" operator="containsText" text="WR"/>
    <x:cfRule type="containsText" dxfId="57" priority="4" operator="containsText" text="TE"/>
    <x:cfRule type="containsText" dxfId="58" priority="5" operator="containsText" text="K"/>
    <x:cfRule type="containsText" dxfId="59" priority="6" operator="containsText" text="DEF"/>
  </x:conditionalFormatting>
  <x:conditionalFormatting sqref="G3:G42">
    <x:cfRule type="colorScale" priority="7">
      <x:colorScale>
        <x:cfvo type="min"/>
        <x:cfvo type="percentile" val="50"/>
        <x:cfvo type="max"/>
        <x:color rgb="FFE67C73"/>
        <x:color rgb="FFFFF0C2"/>
        <x:color rgb="FF63BE7B"/>
      </x:colorScale>
    </x:cfRule>
  </x:conditionalFormatting>
  <x:conditionalFormatting sqref="L3:L42">
    <x:cfRule type="containsText" dxfId="60" priority="8" operator="containsText" text="QB"/>
    <x:cfRule type="containsText" dxfId="61" priority="9" operator="containsText" text="RB"/>
    <x:cfRule type="containsText" dxfId="62" priority="10" operator="containsText" text="WR"/>
    <x:cfRule type="containsText" dxfId="63" priority="11" operator="containsText" text="TE"/>
    <x:cfRule type="containsText" dxfId="64" priority="12" operator="containsText" text="K"/>
    <x:cfRule type="containsText" dxfId="65" priority="13" operator="containsText" text="DEF"/>
  </x:conditionalFormatting>
  <x:conditionalFormatting sqref="P3:P42">
    <x:cfRule type="colorScale" priority="14">
      <x:colorScale>
        <x:cfvo type="min"/>
        <x:cfvo type="percentile" val="50"/>
        <x:cfvo type="max"/>
        <x:color rgb="FFE67C73"/>
        <x:color rgb="FFFFF0C2"/>
        <x:color rgb="FF63BE7B"/>
      </x:colorScale>
    </x:cfRule>
  </x:conditionalFormatting>
  <x:conditionalFormatting sqref="C47:C86">
    <x:cfRule type="containsText" dxfId="66" priority="15" operator="containsText" text="QB"/>
    <x:cfRule type="containsText" dxfId="67" priority="16" operator="containsText" text="RB"/>
    <x:cfRule type="containsText" dxfId="68" priority="17" operator="containsText" text="WR"/>
    <x:cfRule type="containsText" dxfId="69" priority="18" operator="containsText" text="TE"/>
    <x:cfRule type="containsText" dxfId="70" priority="19" operator="containsText" text="K"/>
    <x:cfRule type="containsText" dxfId="71" priority="20" operator="containsText" text="DEF"/>
  </x:conditionalFormatting>
  <x:conditionalFormatting sqref="G47:G86">
    <x:cfRule type="colorScale" priority="21">
      <x:colorScale>
        <x:cfvo type="min"/>
        <x:cfvo type="percentile" val="50"/>
        <x:cfvo type="max"/>
        <x:color rgb="FFE67C73"/>
        <x:color rgb="FFFFF0C2"/>
        <x:color rgb="FF63BE7B"/>
      </x:colorScale>
    </x:cfRule>
  </x:conditionalFormatting>
  <x:conditionalFormatting sqref="L47:L86">
    <x:cfRule type="containsText" dxfId="72" priority="22" operator="containsText" text="QB"/>
    <x:cfRule type="containsText" dxfId="73" priority="23" operator="containsText" text="RB"/>
    <x:cfRule type="containsText" dxfId="74" priority="24" operator="containsText" text="WR"/>
    <x:cfRule type="containsText" dxfId="75" priority="25" operator="containsText" text="TE"/>
    <x:cfRule type="containsText" dxfId="76" priority="26" operator="containsText" text="K"/>
    <x:cfRule type="containsText" dxfId="77" priority="27" operator="containsText" text="DEF"/>
  </x:conditionalFormatting>
  <x:conditionalFormatting sqref="P47:P86">
    <x:cfRule type="colorScale" priority="28">
      <x:colorScale>
        <x:cfvo type="min"/>
        <x:cfvo type="percentile" val="50"/>
        <x:cfvo type="max"/>
        <x:color rgb="FFE67C73"/>
        <x:color rgb="FFFFF0C2"/>
        <x:color rgb="FF63BE7B"/>
      </x:colorScale>
    </x:cfRule>
  </x:conditionalFormatting>
  <x:conditionalFormatting sqref="C91:C130">
    <x:cfRule type="containsText" dxfId="78" priority="29" operator="containsText" text="QB"/>
    <x:cfRule type="containsText" dxfId="79" priority="30" operator="containsText" text="RB"/>
    <x:cfRule type="containsText" dxfId="80" priority="31" operator="containsText" text="WR"/>
    <x:cfRule type="containsText" dxfId="81" priority="32" operator="containsText" text="TE"/>
    <x:cfRule type="containsText" dxfId="82" priority="33" operator="containsText" text="K"/>
    <x:cfRule type="containsText" dxfId="83" priority="34" operator="containsText" text="DEF"/>
  </x:conditionalFormatting>
  <x:conditionalFormatting sqref="G91:G130">
    <x:cfRule type="colorScale" priority="35">
      <x:colorScale>
        <x:cfvo type="min"/>
        <x:cfvo type="percentile" val="50"/>
        <x:cfvo type="max"/>
        <x:color rgb="FFE67C73"/>
        <x:color rgb="FFFFF0C2"/>
        <x:color rgb="FF63BE7B"/>
      </x:colorScale>
    </x:cfRule>
  </x:conditionalFormatting>
  <x:conditionalFormatting sqref="L91:L125">
    <x:cfRule type="containsText" dxfId="84" priority="36" operator="containsText" text="QB"/>
    <x:cfRule type="containsText" dxfId="85" priority="37" operator="containsText" text="RB"/>
    <x:cfRule type="containsText" dxfId="86" priority="38" operator="containsText" text="WR"/>
    <x:cfRule type="containsText" dxfId="87" priority="39" operator="containsText" text="TE"/>
    <x:cfRule type="containsText" dxfId="88" priority="40" operator="containsText" text="K"/>
    <x:cfRule type="containsText" dxfId="89" priority="41" operator="containsText" text="DEF"/>
  </x:conditionalFormatting>
  <x:conditionalFormatting sqref="P91:P125">
    <x:cfRule type="colorScale" priority="42">
      <x:colorScale>
        <x:cfvo type="min"/>
        <x:cfvo type="percentile" val="50"/>
        <x:cfvo type="max"/>
        <x:color rgb="FFE67C73"/>
        <x:color rgb="FFFFF0C2"/>
        <x:color rgb="FF63BE7B"/>
      </x:colorScale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8" hidden="0" customWidth="1"/>
    <x:col min="3" max="3" width="25" hidden="0" customWidth="1"/>
    <x:col min="4" max="4" width="7" hidden="0" customWidth="1"/>
    <x:col min="5" max="5" width="8" hidden="0" customWidth="1"/>
    <x:col min="6" max="6" width="7" hidden="0" customWidth="1"/>
    <x:col min="7" max="7" width="12" hidden="0" customWidth="1"/>
    <x:col min="8" max="8" width="12" hidden="0" customWidth="1"/>
  </x:cols>
  <x:sheetData>
    <x:row r="1" ht="32" customHeight="1">
      <x:c r="A1" s="3" t="str">
        <x:v>KICKER &amp; DEFENSE</x:v>
      </x:c>
    </x:row>
    <x:row r="2" ht="26" customHeight="1">
      <x:c r="A2" s="7" t="str">
        <x:v>Retained in market order; intentionally excluded from the skill-position forecast and VBD model</x:v>
      </x:c>
    </x:row>
    <x:row r="4" ht="25" customHeight="1">
      <x:c r="A4" s="11" t="str">
        <x:v>ADP</x:v>
      </x:c>
      <x:c r="B4" s="11" t="str">
        <x:v>Round</x:v>
      </x:c>
      <x:c r="C4" s="11" t="str">
        <x:v>Player</x:v>
      </x:c>
      <x:c r="D4" s="11" t="str">
        <x:v>Pos</x:v>
      </x:c>
      <x:c r="E4" s="11" t="str">
        <x:v>Team</x:v>
      </x:c>
      <x:c r="F4" s="11" t="str">
        <x:v>Bye</x:v>
      </x:c>
      <x:c r="G4" s="11" t="str">
        <x:v>Sleeper Pts</x:v>
      </x:c>
      <x:c r="H4" s="11" t="str">
        <x:v>Injury</x:v>
      </x:c>
    </x:row>
    <x:row r="5" ht="19" customHeight="1">
      <x:c r="A5" s="12" t="n">
        <x:v>89.4</x:v>
      </x:c>
      <x:c r="B5" s="13" t="n">
        <x:v>8</x:v>
      </x:c>
      <x:c r="C5" s="11" t="str">
        <x:v>Los Angeles Rams</x:v>
      </x:c>
      <x:c r="D5" s="11" t="str">
        <x:v>DEF</x:v>
      </x:c>
      <x:c r="E5" s="11" t="str">
        <x:v>LAR</x:v>
      </x:c>
      <x:c r="F5" s="13" t="n">
        <x:v>11</x:v>
      </x:c>
      <x:c r="G5" s="12" t="n">
        <x:v>116</x:v>
      </x:c>
      <x:c r="H5" s="11"/>
    </x:row>
    <x:row r="6" ht="19" customHeight="1">
      <x:c r="A6" s="12" t="n">
        <x:v>94.1</x:v>
      </x:c>
      <x:c r="B6" s="13" t="n">
        <x:v>8</x:v>
      </x:c>
      <x:c r="C6" s="11" t="str">
        <x:v>Brandon Aubrey</x:v>
      </x:c>
      <x:c r="D6" s="11" t="str">
        <x:v>K</x:v>
      </x:c>
      <x:c r="E6" s="11" t="str">
        <x:v>DAL</x:v>
      </x:c>
      <x:c r="F6" s="13" t="n">
        <x:v>14</x:v>
      </x:c>
      <x:c r="G6" s="12" t="n">
        <x:v>76</x:v>
      </x:c>
      <x:c r="H6" s="11"/>
    </x:row>
    <x:row r="7" ht="19" customHeight="1">
      <x:c r="A7" s="12" t="n">
        <x:v>101.2</x:v>
      </x:c>
      <x:c r="B7" s="13" t="n">
        <x:v>9</x:v>
      </x:c>
      <x:c r="C7" s="11" t="str">
        <x:v>Houston Texans</x:v>
      </x:c>
      <x:c r="D7" s="11" t="str">
        <x:v>DEF</x:v>
      </x:c>
      <x:c r="E7" s="11" t="str">
        <x:v>HOU</x:v>
      </x:c>
      <x:c r="F7" s="13" t="n">
        <x:v>8</x:v>
      </x:c>
      <x:c r="G7" s="12" t="n">
        <x:v>114</x:v>
      </x:c>
      <x:c r="H7" s="11"/>
    </x:row>
    <x:row r="8" ht="19" customHeight="1">
      <x:c r="A8" s="12" t="n">
        <x:v>106.9</x:v>
      </x:c>
      <x:c r="B8" s="13" t="n">
        <x:v>9</x:v>
      </x:c>
      <x:c r="C8" s="11" t="str">
        <x:v>Seattle Seahawks</x:v>
      </x:c>
      <x:c r="D8" s="11" t="str">
        <x:v>DEF</x:v>
      </x:c>
      <x:c r="E8" s="11" t="str">
        <x:v>SEA</x:v>
      </x:c>
      <x:c r="F8" s="13" t="n">
        <x:v>11</x:v>
      </x:c>
      <x:c r="G8" s="12" t="n">
        <x:v>113</x:v>
      </x:c>
      <x:c r="H8" s="11"/>
    </x:row>
    <x:row r="9" ht="19" customHeight="1">
      <x:c r="A9" s="12" t="n">
        <x:v>118.8</x:v>
      </x:c>
      <x:c r="B9" s="13" t="n">
        <x:v>10</x:v>
      </x:c>
      <x:c r="C9" s="11" t="str">
        <x:v>Cameron Dicker</x:v>
      </x:c>
      <x:c r="D9" s="11" t="str">
        <x:v>K</x:v>
      </x:c>
      <x:c r="E9" s="11" t="str">
        <x:v>LAC</x:v>
      </x:c>
      <x:c r="F9" s="13" t="n">
        <x:v>7</x:v>
      </x:c>
      <x:c r="G9" s="12" t="n">
        <x:v>76</x:v>
      </x:c>
      <x:c r="H9" s="11"/>
    </x:row>
    <x:row r="10" ht="19" customHeight="1">
      <x:c r="A10" s="12" t="n">
        <x:v>122.3</x:v>
      </x:c>
      <x:c r="B10" s="13" t="n">
        <x:v>11</x:v>
      </x:c>
      <x:c r="C10" s="11" t="str">
        <x:v>Denver Broncos</x:v>
      </x:c>
      <x:c r="D10" s="11" t="str">
        <x:v>DEF</x:v>
      </x:c>
      <x:c r="E10" s="11" t="str">
        <x:v>DEN</x:v>
      </x:c>
      <x:c r="F10" s="13" t="n">
        <x:v>10</x:v>
      </x:c>
      <x:c r="G10" s="12" t="n">
        <x:v>106</x:v>
      </x:c>
      <x:c r="H10" s="11"/>
    </x:row>
    <x:row r="11" ht="19" customHeight="1">
      <x:c r="A11" s="12" t="n">
        <x:v>125.4</x:v>
      </x:c>
      <x:c r="B11" s="13" t="n">
        <x:v>11</x:v>
      </x:c>
      <x:c r="C11" s="11" t="str">
        <x:v>Philadelphia Eagles</x:v>
      </x:c>
      <x:c r="D11" s="11" t="str">
        <x:v>DEF</x:v>
      </x:c>
      <x:c r="E11" s="11" t="str">
        <x:v>PHI</x:v>
      </x:c>
      <x:c r="F11" s="13" t="n">
        <x:v>10</x:v>
      </x:c>
      <x:c r="G11" s="12" t="n">
        <x:v>108</x:v>
      </x:c>
      <x:c r="H11" s="11"/>
    </x:row>
    <x:row r="12" ht="19" customHeight="1">
      <x:c r="A12" s="12" t="n">
        <x:v>127.9</x:v>
      </x:c>
      <x:c r="B12" s="13" t="n">
        <x:v>11</x:v>
      </x:c>
      <x:c r="C12" s="11" t="str">
        <x:v>Jason Myers</x:v>
      </x:c>
      <x:c r="D12" s="11" t="str">
        <x:v>K</x:v>
      </x:c>
      <x:c r="E12" s="11" t="str">
        <x:v>SEA</x:v>
      </x:c>
      <x:c r="F12" s="13" t="n">
        <x:v>11</x:v>
      </x:c>
      <x:c r="G12" s="12" t="n">
        <x:v>76</x:v>
      </x:c>
      <x:c r="H12" s="11"/>
    </x:row>
    <x:row r="13" ht="19" customHeight="1">
      <x:c r="A13" s="12" t="n">
        <x:v>134.6</x:v>
      </x:c>
      <x:c r="B13" s="13" t="n">
        <x:v>12</x:v>
      </x:c>
      <x:c r="C13" s="11" t="str">
        <x:v>Ka'imi Fairbairn</x:v>
      </x:c>
      <x:c r="D13" s="11" t="str">
        <x:v>K</x:v>
      </x:c>
      <x:c r="E13" s="11" t="str">
        <x:v>HOU</x:v>
      </x:c>
      <x:c r="F13" s="13" t="n">
        <x:v>8</x:v>
      </x:c>
      <x:c r="G13" s="12" t="n">
        <x:v>78</x:v>
      </x:c>
      <x:c r="H13" s="11"/>
    </x:row>
    <x:row r="14" ht="19" customHeight="1">
      <x:c r="A14" s="12" t="n">
        <x:v>135.3</x:v>
      </x:c>
      <x:c r="B14" s="13" t="n">
        <x:v>12</x:v>
      </x:c>
      <x:c r="C14" s="11" t="str">
        <x:v>Cam Little</x:v>
      </x:c>
      <x:c r="D14" s="11" t="str">
        <x:v>K</x:v>
      </x:c>
      <x:c r="E14" s="11" t="str">
        <x:v>JAX</x:v>
      </x:c>
      <x:c r="F14" s="13" t="n">
        <x:v>7</x:v>
      </x:c>
      <x:c r="G14" s="12" t="n">
        <x:v>72</x:v>
      </x:c>
      <x:c r="H14" s="11"/>
    </x:row>
    <x:row r="15" ht="19" customHeight="1">
      <x:c r="A15" s="12" t="n">
        <x:v>136.6</x:v>
      </x:c>
      <x:c r="B15" s="13" t="n">
        <x:v>12</x:v>
      </x:c>
      <x:c r="C15" s="11" t="str">
        <x:v>Baltimore Ravens</x:v>
      </x:c>
      <x:c r="D15" s="11" t="str">
        <x:v>DEF</x:v>
      </x:c>
      <x:c r="E15" s="11" t="str">
        <x:v>BAL</x:v>
      </x:c>
      <x:c r="F15" s="13" t="n">
        <x:v>13</x:v>
      </x:c>
      <x:c r="G15" s="12" t="n">
        <x:v>105</x:v>
      </x:c>
      <x:c r="H15" s="11"/>
    </x:row>
    <x:row r="16" ht="19" customHeight="1">
      <x:c r="A16" s="12" t="n">
        <x:v>142.1</x:v>
      </x:c>
      <x:c r="B16" s="13" t="n">
        <x:v>12</x:v>
      </x:c>
      <x:c r="C16" s="11" t="str">
        <x:v>New England Patriots</x:v>
      </x:c>
      <x:c r="D16" s="11" t="str">
        <x:v>DEF</x:v>
      </x:c>
      <x:c r="E16" s="11" t="str">
        <x:v>NE</x:v>
      </x:c>
      <x:c r="F16" s="13" t="n">
        <x:v>11</x:v>
      </x:c>
      <x:c r="G16" s="12" t="n">
        <x:v>102</x:v>
      </x:c>
      <x:c r="H16" s="11"/>
    </x:row>
    <x:row r="17" ht="19" customHeight="1">
      <x:c r="A17" s="12" t="n">
        <x:v>149.8</x:v>
      </x:c>
      <x:c r="B17" s="13" t="n">
        <x:v>13</x:v>
      </x:c>
      <x:c r="C17" s="11" t="str">
        <x:v>Harrison Mevis</x:v>
      </x:c>
      <x:c r="D17" s="11" t="str">
        <x:v>K</x:v>
      </x:c>
      <x:c r="E17" s="11" t="str">
        <x:v>LAR</x:v>
      </x:c>
      <x:c r="F17" s="13" t="n">
        <x:v>11</x:v>
      </x:c>
      <x:c r="G17" s="12" t="n">
        <x:v>76</x:v>
      </x:c>
      <x:c r="H17" s="11"/>
    </x:row>
    <x:row r="18" ht="19" customHeight="1">
      <x:c r="A18" s="12" t="n">
        <x:v>152.9</x:v>
      </x:c>
      <x:c r="B18" s="13" t="n">
        <x:v>13</x:v>
      </x:c>
      <x:c r="C18" s="11" t="str">
        <x:v>Minnesota Vikings</x:v>
      </x:c>
      <x:c r="D18" s="11" t="str">
        <x:v>DEF</x:v>
      </x:c>
      <x:c r="E18" s="11" t="str">
        <x:v>MIN</x:v>
      </x:c>
      <x:c r="F18" s="13" t="n">
        <x:v>6</x:v>
      </x:c>
      <x:c r="G18" s="12" t="n">
        <x:v>102</x:v>
      </x:c>
      <x:c r="H18" s="11"/>
    </x:row>
    <x:row r="19" ht="19" customHeight="1">
      <x:c r="A19" s="12" t="n">
        <x:v>153.5</x:v>
      </x:c>
      <x:c r="B19" s="13" t="n">
        <x:v>13</x:v>
      </x:c>
      <x:c r="C19" s="11" t="str">
        <x:v>Detroit Lions</x:v>
      </x:c>
      <x:c r="D19" s="11" t="str">
        <x:v>DEF</x:v>
      </x:c>
      <x:c r="E19" s="11" t="str">
        <x:v>DET</x:v>
      </x:c>
      <x:c r="F19" s="13" t="n">
        <x:v>6</x:v>
      </x:c>
      <x:c r="G19" s="12" t="n">
        <x:v>102</x:v>
      </x:c>
      <x:c r="H19" s="11"/>
    </x:row>
    <x:row r="20" ht="19" customHeight="1">
      <x:c r="A20" s="12" t="n">
        <x:v>153.8</x:v>
      </x:c>
      <x:c r="B20" s="13" t="n">
        <x:v>13</x:v>
      </x:c>
      <x:c r="C20" s="11" t="str">
        <x:v>Andy Borregales</x:v>
      </x:c>
      <x:c r="D20" s="11" t="str">
        <x:v>K</x:v>
      </x:c>
      <x:c r="E20" s="11" t="str">
        <x:v>NE</x:v>
      </x:c>
      <x:c r="F20" s="13" t="n">
        <x:v>11</x:v>
      </x:c>
      <x:c r="G20" s="12" t="n">
        <x:v>71</x:v>
      </x:c>
      <x:c r="H20" s="11"/>
    </x:row>
    <x:row r="21" ht="19" customHeight="1">
      <x:c r="A21" s="12" t="n">
        <x:v>156.7</x:v>
      </x:c>
      <x:c r="B21" s="13" t="n">
        <x:v>14</x:v>
      </x:c>
      <x:c r="C21" s="11" t="str">
        <x:v>Chris Boswell</x:v>
      </x:c>
      <x:c r="D21" s="11" t="str">
        <x:v>K</x:v>
      </x:c>
      <x:c r="E21" s="11" t="str">
        <x:v>PIT</x:v>
      </x:c>
      <x:c r="F21" s="13" t="n">
        <x:v>9</x:v>
      </x:c>
      <x:c r="G21" s="12" t="n">
        <x:v>67</x:v>
      </x:c>
      <x:c r="H21" s="11"/>
    </x:row>
    <x:row r="22" ht="19" customHeight="1">
      <x:c r="A22" s="12" t="n">
        <x:v>157.4</x:v>
      </x:c>
      <x:c r="B22" s="13" t="n">
        <x:v>14</x:v>
      </x:c>
      <x:c r="C22" s="11" t="str">
        <x:v>Jake Bates</x:v>
      </x:c>
      <x:c r="D22" s="11" t="str">
        <x:v>K</x:v>
      </x:c>
      <x:c r="E22" s="11" t="str">
        <x:v>DET</x:v>
      </x:c>
      <x:c r="F22" s="13" t="n">
        <x:v>6</x:v>
      </x:c>
      <x:c r="G22" s="12" t="n">
        <x:v>75</x:v>
      </x:c>
      <x:c r="H22" s="11"/>
    </x:row>
    <x:row r="23" ht="19" customHeight="1">
      <x:c r="A23" s="12" t="n">
        <x:v>162.5</x:v>
      </x:c>
      <x:c r="B23" s="13" t="n">
        <x:v>14</x:v>
      </x:c>
      <x:c r="C23" s="11" t="str">
        <x:v>Pittsburgh Steelers</x:v>
      </x:c>
      <x:c r="D23" s="11" t="str">
        <x:v>DEF</x:v>
      </x:c>
      <x:c r="E23" s="11" t="str">
        <x:v>PIT</x:v>
      </x:c>
      <x:c r="F23" s="13" t="n">
        <x:v>9</x:v>
      </x:c>
      <x:c r="G23" s="12" t="n">
        <x:v>98</x:v>
      </x:c>
      <x:c r="H23" s="11"/>
    </x:row>
    <x:row r="24" ht="19" customHeight="1">
      <x:c r="A24" s="12" t="n">
        <x:v>170.9</x:v>
      </x:c>
      <x:c r="B24" s="13" t="n">
        <x:v>15</x:v>
      </x:c>
      <x:c r="C24" s="11" t="str">
        <x:v>Will Reichard</x:v>
      </x:c>
      <x:c r="D24" s="11" t="str">
        <x:v>K</x:v>
      </x:c>
      <x:c r="E24" s="11" t="str">
        <x:v>MIN</x:v>
      </x:c>
      <x:c r="F24" s="13" t="n">
        <x:v>6</x:v>
      </x:c>
      <x:c r="G24" s="12" t="n">
        <x:v>74</x:v>
      </x:c>
      <x:c r="H24" s="11"/>
    </x:row>
    <x:row r="25" ht="19" customHeight="1">
      <x:c r="A25" s="12" t="n">
        <x:v>172.5</x:v>
      </x:c>
      <x:c r="B25" s="13" t="n">
        <x:v>15</x:v>
      </x:c>
      <x:c r="C25" s="11" t="str">
        <x:v>Jacksonville Jaguars</x:v>
      </x:c>
      <x:c r="D25" s="11" t="str">
        <x:v>DEF</x:v>
      </x:c>
      <x:c r="E25" s="11" t="str">
        <x:v>JAX</x:v>
      </x:c>
      <x:c r="F25" s="13" t="n">
        <x:v>7</x:v>
      </x:c>
      <x:c r="G25" s="12" t="n">
        <x:v>101</x:v>
      </x:c>
      <x:c r="H25" s="11"/>
    </x:row>
    <x:row r="26" ht="19" customHeight="1">
      <x:c r="A26" s="12" t="n">
        <x:v>174</x:v>
      </x:c>
      <x:c r="B26" s="13" t="n">
        <x:v>15</x:v>
      </x:c>
      <x:c r="C26" s="11" t="str">
        <x:v>Eddy Pineiro</x:v>
      </x:c>
      <x:c r="D26" s="11" t="str">
        <x:v>K</x:v>
      </x:c>
      <x:c r="E26" s="11" t="str">
        <x:v>SF</x:v>
      </x:c>
      <x:c r="F26" s="13" t="n">
        <x:v>8</x:v>
      </x:c>
      <x:c r="G26" s="12" t="n">
        <x:v>71</x:v>
      </x:c>
      <x:c r="H26" s="11"/>
    </x:row>
    <x:row r="27" ht="19" customHeight="1">
      <x:c r="A27" s="12" t="n">
        <x:v>179.4</x:v>
      </x:c>
      <x:c r="B27" s="13" t="n">
        <x:v>15</x:v>
      </x:c>
      <x:c r="C27" s="11" t="str">
        <x:v>Los Angeles Chargers</x:v>
      </x:c>
      <x:c r="D27" s="11" t="str">
        <x:v>DEF</x:v>
      </x:c>
      <x:c r="E27" s="11" t="str">
        <x:v>LAC</x:v>
      </x:c>
      <x:c r="F27" s="13" t="n">
        <x:v>7</x:v>
      </x:c>
      <x:c r="G27" s="12" t="n">
        <x:v>96</x:v>
      </x:c>
      <x:c r="H27" s="11"/>
    </x:row>
    <x:row r="28" ht="19" customHeight="1">
      <x:c r="A28" s="12" t="n">
        <x:v>181.2</x:v>
      </x:c>
      <x:c r="B28" s="13" t="n">
        <x:v>16</x:v>
      </x:c>
      <x:c r="C28" s="11" t="str">
        <x:v>Harrison Butker</x:v>
      </x:c>
      <x:c r="D28" s="11" t="str">
        <x:v>K</x:v>
      </x:c>
      <x:c r="E28" s="11" t="str">
        <x:v>KC</x:v>
      </x:c>
      <x:c r="F28" s="13" t="n">
        <x:v>5</x:v>
      </x:c>
      <x:c r="G28" s="12" t="n">
        <x:v>70</x:v>
      </x:c>
      <x:c r="H28" s="11"/>
    </x:row>
    <x:row r="29" ht="19" customHeight="1">
      <x:c r="A29" s="12" t="n">
        <x:v>184</x:v>
      </x:c>
      <x:c r="B29" s="13" t="n">
        <x:v>16</x:v>
      </x:c>
      <x:c r="C29" s="11" t="str">
        <x:v>Evan McPherson</x:v>
      </x:c>
      <x:c r="D29" s="11" t="str">
        <x:v>K</x:v>
      </x:c>
      <x:c r="E29" s="11" t="str">
        <x:v>CIN</x:v>
      </x:c>
      <x:c r="F29" s="13" t="n">
        <x:v>6</x:v>
      </x:c>
      <x:c r="G29" s="12" t="n">
        <x:v>76</x:v>
      </x:c>
      <x:c r="H29" s="11"/>
    </x:row>
    <x:row r="30" ht="19" customHeight="1">
      <x:c r="A30" s="12" t="n">
        <x:v>197.3</x:v>
      </x:c>
      <x:c r="B30" s="13" t="n">
        <x:v>17</x:v>
      </x:c>
      <x:c r="C30" s="11" t="str">
        <x:v>Dallas Cowboys</x:v>
      </x:c>
      <x:c r="D30" s="11" t="str">
        <x:v>DEF</x:v>
      </x:c>
      <x:c r="E30" s="11" t="str">
        <x:v>DAL</x:v>
      </x:c>
      <x:c r="F30" s="13" t="n">
        <x:v>14</x:v>
      </x:c>
      <x:c r="G30" s="12" t="n">
        <x:v>96</x:v>
      </x:c>
      <x:c r="H30" s="11"/>
    </x:row>
    <x:row r="31" ht="19" customHeight="1">
      <x:c r="A31" s="12" t="n">
        <x:v>201.8</x:v>
      </x:c>
      <x:c r="B31" s="13" t="n">
        <x:v>17</x:v>
      </x:c>
      <x:c r="C31" s="11" t="str">
        <x:v>Tyler Loop</x:v>
      </x:c>
      <x:c r="D31" s="11" t="str">
        <x:v>K</x:v>
      </x:c>
      <x:c r="E31" s="11" t="str">
        <x:v>BAL</x:v>
      </x:c>
      <x:c r="F31" s="13" t="n">
        <x:v>13</x:v>
      </x:c>
      <x:c r="G31" s="12" t="n">
        <x:v>76</x:v>
      </x:c>
      <x:c r="H31" s="11"/>
    </x:row>
    <x:row r="32" ht="19" customHeight="1">
      <x:c r="A32" s="12" t="n">
        <x:v>202.9</x:v>
      </x:c>
      <x:c r="B32" s="13" t="n">
        <x:v>17</x:v>
      </x:c>
      <x:c r="C32" s="11" t="str">
        <x:v>Green Bay Packers</x:v>
      </x:c>
      <x:c r="D32" s="11" t="str">
        <x:v>DEF</x:v>
      </x:c>
      <x:c r="E32" s="11" t="str">
        <x:v>GB</x:v>
      </x:c>
      <x:c r="F32" s="13" t="n">
        <x:v>11</x:v>
      </x:c>
      <x:c r="G32" s="12" t="n">
        <x:v>96</x:v>
      </x:c>
      <x:c r="H32" s="11"/>
    </x:row>
    <x:row r="33" ht="19" customHeight="1">
      <x:c r="A33" s="12" t="n">
        <x:v>214.6</x:v>
      </x:c>
      <x:c r="B33" s="13" t="n">
        <x:v>18</x:v>
      </x:c>
      <x:c r="C33" s="11" t="str">
        <x:v>Kansas City Chiefs</x:v>
      </x:c>
      <x:c r="D33" s="11" t="str">
        <x:v>DEF</x:v>
      </x:c>
      <x:c r="E33" s="11" t="str">
        <x:v>KC</x:v>
      </x:c>
      <x:c r="F33" s="13" t="n">
        <x:v>5</x:v>
      </x:c>
      <x:c r="G33" s="12" t="n">
        <x:v>97</x:v>
      </x:c>
      <x:c r="H33" s="11"/>
    </x:row>
    <x:row r="34" ht="19" customHeight="1">
      <x:c r="A34" s="12" t="n">
        <x:v>216.3</x:v>
      </x:c>
      <x:c r="B34" s="13" t="n">
        <x:v>19</x:v>
      </x:c>
      <x:c r="C34" s="11" t="str">
        <x:v>Cairo Santos</x:v>
      </x:c>
      <x:c r="D34" s="11" t="str">
        <x:v>K</x:v>
      </x:c>
      <x:c r="E34" s="11" t="str">
        <x:v>CHI</x:v>
      </x:c>
      <x:c r="F34" s="13" t="n">
        <x:v>10</x:v>
      </x:c>
      <x:c r="G34" s="12" t="n">
        <x:v>70</x:v>
      </x:c>
      <x:c r="H34" s="11"/>
    </x:row>
    <x:row r="35" ht="19" customHeight="1">
      <x:c r="A35" s="12" t="n">
        <x:v>219</x:v>
      </x:c>
      <x:c r="B35" s="13" t="n">
        <x:v>19</x:v>
      </x:c>
      <x:c r="C35" s="11" t="str">
        <x:v>Indianapolis Colts</x:v>
      </x:c>
      <x:c r="D35" s="11" t="str">
        <x:v>DEF</x:v>
      </x:c>
      <x:c r="E35" s="11" t="str">
        <x:v>IND</x:v>
      </x:c>
      <x:c r="F35" s="13" t="n">
        <x:v>13</x:v>
      </x:c>
      <x:c r="G35" s="12" t="n">
        <x:v>94</x:v>
      </x:c>
      <x:c r="H35" s="11"/>
    </x:row>
    <x:row r="36" ht="19" customHeight="1">
      <x:c r="A36" s="12" t="n">
        <x:v>220.3</x:v>
      </x:c>
      <x:c r="B36" s="13" t="n">
        <x:v>19</x:v>
      </x:c>
      <x:c r="C36" s="11" t="str">
        <x:v>Jake Elliott</x:v>
      </x:c>
      <x:c r="D36" s="11" t="str">
        <x:v>K</x:v>
      </x:c>
      <x:c r="E36" s="11" t="str">
        <x:v>PHI</x:v>
      </x:c>
      <x:c r="F36" s="13" t="n">
        <x:v>10</x:v>
      </x:c>
      <x:c r="G36" s="12" t="n">
        <x:v>65</x:v>
      </x:c>
      <x:c r="H36" s="11"/>
    </x:row>
    <x:row r="37" ht="19" customHeight="1">
      <x:c r="A37" s="12" t="n">
        <x:v>221.2</x:v>
      </x:c>
      <x:c r="B37" s="13" t="n">
        <x:v>19</x:v>
      </x:c>
      <x:c r="C37" s="11" t="str">
        <x:v>Buffalo Bills</x:v>
      </x:c>
      <x:c r="D37" s="11" t="str">
        <x:v>DEF</x:v>
      </x:c>
      <x:c r="E37" s="11" t="str">
        <x:v>BUF</x:v>
      </x:c>
      <x:c r="F37" s="13" t="n">
        <x:v>7</x:v>
      </x:c>
      <x:c r="G37" s="12" t="n">
        <x:v>94</x:v>
      </x:c>
      <x:c r="H37" s="11"/>
    </x:row>
    <x:row r="38" ht="19" customHeight="1">
      <x:c r="A38" s="12" t="n">
        <x:v>222.1</x:v>
      </x:c>
      <x:c r="B38" s="13" t="n">
        <x:v>19</x:v>
      </x:c>
      <x:c r="C38" s="11" t="str">
        <x:v>San Francisco 49ers</x:v>
      </x:c>
      <x:c r="D38" s="11" t="str">
        <x:v>DEF</x:v>
      </x:c>
      <x:c r="E38" s="11" t="str">
        <x:v>SF</x:v>
      </x:c>
      <x:c r="F38" s="13" t="n">
        <x:v>8</x:v>
      </x:c>
      <x:c r="G38" s="12" t="n">
        <x:v>94</x:v>
      </x:c>
      <x:c r="H38" s="11"/>
    </x:row>
    <x:row r="39" ht="19" customHeight="1">
      <x:c r="A39" s="12" t="n">
        <x:v>223.4</x:v>
      </x:c>
      <x:c r="B39" s="13" t="n">
        <x:v>19</x:v>
      </x:c>
      <x:c r="C39" s="11" t="str">
        <x:v>Chase McLaughlin</x:v>
      </x:c>
      <x:c r="D39" s="11" t="str">
        <x:v>K</x:v>
      </x:c>
      <x:c r="E39" s="11" t="str">
        <x:v>TB</x:v>
      </x:c>
      <x:c r="F39" s="13" t="n">
        <x:v>10</x:v>
      </x:c>
      <x:c r="G39" s="12" t="n">
        <x:v>70</x:v>
      </x:c>
      <x:c r="H39" s="11"/>
    </x:row>
    <x:row r="40" ht="19" customHeight="1">
      <x:c r="A40" s="12" t="n">
        <x:v>226.1</x:v>
      </x:c>
      <x:c r="B40" s="13" t="n">
        <x:v>19</x:v>
      </x:c>
      <x:c r="C40" s="11" t="str">
        <x:v>Chicago Bears</x:v>
      </x:c>
      <x:c r="D40" s="11" t="str">
        <x:v>DEF</x:v>
      </x:c>
      <x:c r="E40" s="11" t="str">
        <x:v>CHI</x:v>
      </x:c>
      <x:c r="F40" s="13" t="n">
        <x:v>10</x:v>
      </x:c>
      <x:c r="G40" s="12" t="n">
        <x:v>95</x:v>
      </x:c>
      <x:c r="H40" s="11"/>
    </x:row>
    <x:row r="41" ht="19" customHeight="1">
      <x:c r="A41" s="12" t="n">
        <x:v>228.4</x:v>
      </x:c>
      <x:c r="B41" s="13" t="n">
        <x:v>20</x:v>
      </x:c>
      <x:c r="C41" s="11" t="str">
        <x:v>Atlanta Falcons</x:v>
      </x:c>
      <x:c r="D41" s="11" t="str">
        <x:v>DEF</x:v>
      </x:c>
      <x:c r="E41" s="11" t="str">
        <x:v>ATL</x:v>
      </x:c>
      <x:c r="F41" s="13" t="n">
        <x:v>11</x:v>
      </x:c>
      <x:c r="G41" s="12" t="n">
        <x:v>93</x:v>
      </x:c>
      <x:c r="H41" s="11"/>
    </x:row>
    <x:row r="42" ht="19" customHeight="1">
      <x:c r="A42" s="12" t="n">
        <x:v>232.4</x:v>
      </x:c>
      <x:c r="B42" s="13" t="n">
        <x:v>20</x:v>
      </x:c>
      <x:c r="C42" s="11" t="str">
        <x:v>Tampa Bay Buccaneers</x:v>
      </x:c>
      <x:c r="D42" s="11" t="str">
        <x:v>DEF</x:v>
      </x:c>
      <x:c r="E42" s="11" t="str">
        <x:v>TB</x:v>
      </x:c>
      <x:c r="F42" s="13" t="n">
        <x:v>10</x:v>
      </x:c>
      <x:c r="G42" s="12" t="n">
        <x:v>91</x:v>
      </x:c>
      <x:c r="H42" s="11"/>
    </x:row>
    <x:row r="43" ht="19" customHeight="1">
      <x:c r="A43" s="12" t="n">
        <x:v>236.9</x:v>
      </x:c>
      <x:c r="B43" s="13" t="n">
        <x:v>20</x:v>
      </x:c>
      <x:c r="C43" s="11" t="str">
        <x:v>New York Giants</x:v>
      </x:c>
      <x:c r="D43" s="11" t="str">
        <x:v>DEF</x:v>
      </x:c>
      <x:c r="E43" s="11" t="str">
        <x:v>NYG</x:v>
      </x:c>
      <x:c r="F43" s="13" t="n">
        <x:v>8</x:v>
      </x:c>
      <x:c r="G43" s="12" t="n">
        <x:v>96</x:v>
      </x:c>
      <x:c r="H43" s="11"/>
    </x:row>
    <x:row r="44" ht="19" customHeight="1">
      <x:c r="A44" s="12" t="n">
        <x:v>238.4</x:v>
      </x:c>
      <x:c r="B44" s="13" t="n">
        <x:v>20</x:v>
      </x:c>
      <x:c r="C44" s="11" t="str">
        <x:v>Carolina Panthers</x:v>
      </x:c>
      <x:c r="D44" s="11" t="str">
        <x:v>DEF</x:v>
      </x:c>
      <x:c r="E44" s="11" t="str">
        <x:v>CAR</x:v>
      </x:c>
      <x:c r="F44" s="13" t="n">
        <x:v>5</x:v>
      </x:c>
      <x:c r="G44" s="12" t="n">
        <x:v>91</x:v>
      </x:c>
      <x:c r="H44" s="11"/>
    </x:row>
    <x:row r="45" ht="19" customHeight="1">
      <x:c r="A45" s="12" t="n">
        <x:v>241.2</x:v>
      </x:c>
      <x:c r="B45" s="13" t="n">
        <x:v>21</x:v>
      </x:c>
      <x:c r="C45" s="11" t="str">
        <x:v>Cincinnati Bengals</x:v>
      </x:c>
      <x:c r="D45" s="11" t="str">
        <x:v>DEF</x:v>
      </x:c>
      <x:c r="E45" s="11" t="str">
        <x:v>CIN</x:v>
      </x:c>
      <x:c r="F45" s="13" t="n">
        <x:v>6</x:v>
      </x:c>
      <x:c r="G45" s="12" t="n">
        <x:v>89</x:v>
      </x:c>
      <x:c r="H45" s="11"/>
    </x:row>
  </x:sheetData>
  <x:mergeCells>
    <x:mergeCell ref="A1:H1"/>
    <x:mergeCell ref="A2:H2"/>
  </x:mergeCells>
  <x:conditionalFormatting sqref="D5:D45">
    <x:cfRule type="containsText" dxfId="90" priority="1" operator="containsText" text="QB"/>
    <x:cfRule type="containsText" dxfId="91" priority="2" operator="containsText" text="RB"/>
    <x:cfRule type="containsText" dxfId="92" priority="3" operator="containsText" text="WR"/>
    <x:cfRule type="containsText" dxfId="93" priority="4" operator="containsText" text="TE"/>
    <x:cfRule type="containsText" dxfId="94" priority="5" operator="containsText" text="K"/>
    <x:cfRule type="containsText" dxfId="95" priority="6" operator="containsText" text="DEF"/>
  </x:conditionalFormatting>
  <x:pageMargins left="0.7" right="0.7" top="0.75" bottom="0.75" header="0.3" footer="0.3"/>
  <x:tableParts count="1">
    <x:tablePart xmlns:r="http://schemas.openxmlformats.org/officeDocument/2006/relationships" r:id="R4fdcca409ff04b8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5" hidden="0" customWidth="1"/>
  </x:cols>
  <x:sheetData>
    <x:row r="1" ht="32" customHeight="1">
      <x:c r="A1" s="3" t="str">
        <x:v>METHOD, ASSUMPTIONS &amp; SOURCES</x:v>
      </x:c>
    </x:row>
    <x:row r="2" ht="26" customHeight="1">
      <x:c r="A2" s="7" t="str">
        <x:v>The workbook is designed to make the independent forecast, confidence blend and league valuation auditable</x:v>
      </x:c>
    </x:row>
    <x:row r="4" ht="42" customHeight="1">
      <x:c r="A4" s="41" t="str">
        <x:v>Independent forecast</x:v>
      </x:c>
      <x:c r="B4" s="42" t="str">
        <x:v>Position-specific ridge regression trained on 2015–2025 NFL regular seasons. A row from season A predicts season A+1; Sleeper projection and ADP are excluded.</x:v>
      </x:c>
    </x:row>
    <x:row r="5" ht="42" customHeight="1">
      <x:c r="A5" s="43" t="str">
        <x:v>Team environment</x:v>
      </x:c>
      <x:c r="B5" s="44" t="str">
        <x:v>Destination team's prior three seasons: 55% most recent, 30% prior, 15% third; then 20% shrinkage toward that season's league average.</x:v>
      </x:c>
    </x:row>
    <x:row r="6" ht="42" customHeight="1">
      <x:c r="A6" s="43" t="str">
        <x:v>RB exception</x:v>
      </x:c>
      <x:c r="B6" s="44" t="str">
        <x:v>Team-aware RB PPG was tested but player-only Ridge had slightly lower walk-forward MAE (2.800 vs 2.818). Team context remains in RB opportunity explanations.</x:v>
      </x:c>
    </x:row>
    <x:row r="7" ht="42" customHeight="1">
      <x:c r="A7" s="43" t="str">
        <x:v>Expected games</x:v>
      </x:c>
      <x:c r="B7" s="44" t="str">
        <x:v>Games-played Ridge forecast shrunk 25% toward a 14-game active-player prior. Missing weeks reduce only points above replacement because a substitute can play.</x:v>
      </x:c>
    </x:row>
    <x:row r="8" ht="42" customHeight="1">
      <x:c r="A8" s="43" t="str">
        <x:v>Decision blend</x:v>
      </x:c>
      <x:c r="B8" s="44" t="str">
        <x:v>High confidence: 65% independent / 35% Sleeper. Medium: 50% / 50%. Low: 25% / 75%. Unmodeled: Sleeper only.</x:v>
      </x:c>
    </x:row>
    <x:row r="9" ht="42" customHeight="1">
      <x:c r="A9" s="43" t="str">
        <x:v>Independent VBD</x:v>
      </x:c>
      <x:c r="B9" s="44" t="str">
        <x:v>(Independent PPG - independent replacement PPG) × expected games.</x:v>
      </x:c>
    </x:row>
    <x:row r="10" ht="42" customHeight="1">
      <x:c r="A10" s="43" t="str">
        <x:v>Decision VBD</x:v>
      </x:c>
      <x:c r="B10" s="44" t="str">
        <x:v>(Decision PPG - decision replacement PPG) × expected games.</x:v>
      </x:c>
    </x:row>
    <x:row r="11" ht="42" customHeight="1">
      <x:c r="A11" s="43" t="str">
        <x:v>Draft Gap</x:v>
      </x:c>
      <x:c r="B11" s="44" t="str">
        <x:v>Sleeper ADP minus Decision Rank. Positive means the model values the player earlier than the market price.</x:v>
      </x:c>
    </x:row>
    <x:row r="12" ht="42" customHeight="1">
      <x:c r="A12" s="43" t="str">
        <x:v>Projection Gap</x:v>
      </x:c>
      <x:c r="B12" s="44" t="str">
        <x:v>Independent 17-game points minus Sleeper projected points. Positive means our football forecast is higher.</x:v>
      </x:c>
    </x:row>
    <x:row r="13" ht="42" customHeight="1">
      <x:c r="A13" s="43" t="str">
        <x:v>Rookies</x:v>
      </x:c>
      <x:c r="B13" s="44" t="str">
        <x:v>Draft pick, age and destination-team environment. No college production is included, so confidence is Low and the decision blend leans 75% on Sleeper.</x:v>
      </x:c>
    </x:row>
    <x:row r="14" ht="42" customHeight="1">
      <x:c r="A14" s="45" t="str">
        <x:v>Sleeper targets</x:v>
      </x:c>
      <x:c r="B14" s="46" t="str">
        <x:v>The live Sleeper table supplied dashes rather than target projections. Own target forecasts remain available; blank Sleeper target cells mean unavailable, not zero.</x:v>
      </x:c>
    </x:row>
    <x:row r="16">
      <x:c r="A16" s="47" t="str">
        <x:v>SOURCE URLS</x:v>
      </x:c>
    </x:row>
    <x:row r="17">
      <x:c r="A17" s="49" t="str">
        <x:v>NFLverse player summaries</x:v>
      </x:c>
      <x:c r="B17" s="51" t="str">
        <x:v>https://github.com/nflverse/nflverse-data/releases/tag/stats_player</x:v>
      </x:c>
    </x:row>
    <x:row r="18">
      <x:c r="A18" s="49" t="str">
        <x:v>NFLverse team summaries</x:v>
      </x:c>
      <x:c r="B18" s="51" t="str">
        <x:v>https://github.com/nflverse/nflverse-data/releases/tag/stats_team</x:v>
      </x:c>
    </x:row>
    <x:row r="19">
      <x:c r="A19" s="49" t="str">
        <x:v>NFLverse player registry</x:v>
      </x:c>
      <x:c r="B19" s="51" t="str">
        <x:v>https://github.com/nflverse/nflverse-data/releases/tag/players</x:v>
      </x:c>
    </x:row>
    <x:row r="20">
      <x:c r="A20" s="49" t="str">
        <x:v>NFLverse draft picks</x:v>
      </x:c>
      <x:c r="B20" s="51" t="str">
        <x:v>https://github.com/nflverse/nflverse-data/releases/tag/draft_picks</x:v>
      </x:c>
    </x:row>
    <x:row r="21">
      <x:c r="A21" s="49" t="str">
        <x:v>Sleeper fantasy football</x:v>
      </x:c>
      <x:c r="B21" s="51" t="str">
        <x:v>https://sleeper.com/fantasy-football</x:v>
      </x:c>
    </x:row>
    <x:row r="22">
      <x:c r="A22" s="49" t="str">
        <x:v>FantasyPros 2025 PPR context</x:v>
      </x:c>
      <x:c r="B22" s="51" t="str">
        <x:v>https://www.fantasypros.com/nfl/stats/qb.php</x:v>
      </x:c>
    </x:row>
    <x:row r="24">
      <x:c r="A24" s="35" t="str">
        <x:v>League</x:v>
      </x:c>
      <x:c r="B24" s="53" t="str">
        <x:v>12 teams, PPR, 1 QB, 2 RB, 2 WR, 1 TE, 1 FLEX, K, DEF, 7 bench</x:v>
      </x:c>
    </x:row>
    <x:row r="25">
      <x:c r="A25" s="35" t="str">
        <x:v>Replacement ranks</x:v>
      </x:c>
      <x:c r="B25" s="53" t="str">
        <x:v>QB 13; RB 25; WR 37; TE 13</x:v>
      </x:c>
    </x:row>
    <x:row r="26">
      <x:c r="A26" s="35" t="str">
        <x:v>FLEX allocation</x:v>
      </x:c>
      <x:c r="B26" s="53" t="str">
        <x:v>0 RB; 12 WR; 0 TE from the decision forecast</x:v>
      </x:c>
    </x:row>
    <x:row r="27">
      <x:c r="A27" s="35" t="str">
        <x:v>Generated</x:v>
      </x:c>
      <x:c r="B27" s="53" t="str">
        <x:v>UTC 2026-08-22T17:21:28.838684-05:00</x:v>
      </x:c>
    </x:row>
  </x:sheetData>
  <x:mergeCells>
    <x:mergeCell ref="A1:H1"/>
    <x:mergeCell ref="A2:H2"/>
    <x:mergeCell ref="A16:B16"/>
  </x:mergeCells>
  <x:pageMargins left="0.7" right="0.7" top="0.75" bottom="0.75" header="0.3" footer="0.3"/>
</x:worksheet>
</file>